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hung\Desktop\Bài học trên trường\Kiểm thử phần mềm\Giữa kỳ\"/>
    </mc:Choice>
  </mc:AlternateContent>
  <bookViews>
    <workbookView xWindow="0" yWindow="0" windowWidth="19200" windowHeight="7035" firstSheet="3" activeTab="3"/>
  </bookViews>
  <sheets>
    <sheet name="Kế hoạch kiểm thử phần mềm" sheetId="1" r:id="rId1"/>
    <sheet name="Báo cáo tóm tắt kiểm thử" sheetId="2" r:id="rId2"/>
    <sheet name="Báo cáo lỗi" sheetId="3" r:id="rId3"/>
    <sheet name="Các trường hợp kiểm thử" sheetId="10" r:id="rId4"/>
    <sheet name="Mục tiêu" sheetId="4" r:id="rId5"/>
    <sheet name="Metrics Log" sheetId="6" r:id="rId6"/>
    <sheet name="Chart" sheetId="9" r:id="rId7"/>
    <sheet name="Soak Test Plan (Old)" sheetId="5" r:id="rId8"/>
    <sheet name="Summary" sheetId="7" r:id="rId9"/>
    <sheet name="How to Use" sheetId="8" r:id="rId10"/>
  </sheets>
  <calcPr calcId="152511"/>
</workbook>
</file>

<file path=xl/calcChain.xml><?xml version="1.0" encoding="utf-8"?>
<calcChain xmlns="http://schemas.openxmlformats.org/spreadsheetml/2006/main">
  <c r="C504" i="6" l="1"/>
  <c r="B504" i="6"/>
  <c r="C503" i="6"/>
  <c r="B503" i="6"/>
  <c r="C502" i="6"/>
  <c r="B502" i="6"/>
  <c r="C501" i="6"/>
  <c r="B501" i="6"/>
  <c r="C500" i="6"/>
  <c r="B500" i="6"/>
  <c r="C499" i="6"/>
  <c r="B499" i="6"/>
  <c r="C498" i="6"/>
  <c r="B498" i="6"/>
  <c r="C497" i="6"/>
  <c r="B497" i="6"/>
  <c r="C496" i="6"/>
  <c r="B496" i="6"/>
  <c r="C495" i="6"/>
  <c r="B495" i="6"/>
  <c r="C494" i="6"/>
  <c r="B494" i="6"/>
  <c r="C493" i="6"/>
  <c r="B493" i="6"/>
  <c r="C492" i="6"/>
  <c r="B492" i="6"/>
  <c r="C491" i="6"/>
  <c r="B491" i="6"/>
  <c r="C490" i="6"/>
  <c r="B490" i="6"/>
  <c r="C489" i="6"/>
  <c r="B489" i="6"/>
  <c r="C488" i="6"/>
  <c r="B488" i="6"/>
  <c r="C487" i="6"/>
  <c r="B487" i="6"/>
  <c r="C486" i="6"/>
  <c r="B486" i="6"/>
  <c r="C485" i="6"/>
  <c r="B485" i="6"/>
  <c r="C484" i="6"/>
  <c r="B484" i="6"/>
  <c r="C483" i="6"/>
  <c r="B483" i="6"/>
  <c r="C482" i="6"/>
  <c r="B482" i="6"/>
  <c r="C481" i="6"/>
  <c r="B481" i="6"/>
  <c r="C480" i="6"/>
  <c r="B480" i="6"/>
  <c r="C479" i="6"/>
  <c r="B479" i="6"/>
  <c r="C478" i="6"/>
  <c r="B478" i="6"/>
  <c r="C477" i="6"/>
  <c r="B477" i="6"/>
  <c r="C476" i="6"/>
  <c r="B476" i="6"/>
  <c r="C475" i="6"/>
  <c r="B475" i="6"/>
  <c r="C474" i="6"/>
  <c r="B474" i="6"/>
  <c r="C473" i="6"/>
  <c r="B473" i="6"/>
  <c r="C472" i="6"/>
  <c r="B472" i="6"/>
  <c r="C471" i="6"/>
  <c r="B471" i="6"/>
  <c r="C470" i="6"/>
  <c r="B470" i="6"/>
  <c r="C469" i="6"/>
  <c r="B469" i="6"/>
  <c r="C468" i="6"/>
  <c r="B468" i="6"/>
  <c r="C467" i="6"/>
  <c r="B467" i="6"/>
  <c r="C466" i="6"/>
  <c r="B466" i="6"/>
  <c r="C465" i="6"/>
  <c r="B465" i="6"/>
  <c r="C464" i="6"/>
  <c r="B464" i="6"/>
  <c r="C463" i="6"/>
  <c r="B463" i="6"/>
  <c r="C462" i="6"/>
  <c r="B462" i="6"/>
  <c r="C461" i="6"/>
  <c r="B461" i="6"/>
  <c r="C460" i="6"/>
  <c r="B460" i="6"/>
  <c r="C459" i="6"/>
  <c r="B459" i="6"/>
  <c r="C458" i="6"/>
  <c r="B458" i="6"/>
  <c r="C457" i="6"/>
  <c r="B457" i="6"/>
  <c r="C456" i="6"/>
  <c r="B456" i="6"/>
  <c r="C455" i="6"/>
  <c r="B455" i="6"/>
  <c r="C454" i="6"/>
  <c r="B454" i="6"/>
  <c r="C453" i="6"/>
  <c r="B453" i="6"/>
  <c r="C452" i="6"/>
  <c r="B452" i="6"/>
  <c r="C451" i="6"/>
  <c r="B451" i="6"/>
  <c r="C450" i="6"/>
  <c r="B450" i="6"/>
  <c r="C449" i="6"/>
  <c r="B449" i="6"/>
  <c r="C448" i="6"/>
  <c r="B448" i="6"/>
  <c r="C447" i="6"/>
  <c r="B447" i="6"/>
  <c r="C446" i="6"/>
  <c r="B446" i="6"/>
  <c r="C445" i="6"/>
  <c r="B445" i="6"/>
  <c r="C444" i="6"/>
  <c r="B444" i="6"/>
  <c r="C443" i="6"/>
  <c r="B443" i="6"/>
  <c r="C442" i="6"/>
  <c r="B442" i="6"/>
  <c r="C441" i="6"/>
  <c r="B441" i="6"/>
  <c r="C440" i="6"/>
  <c r="B440" i="6"/>
  <c r="C439" i="6"/>
  <c r="B439" i="6"/>
  <c r="C438" i="6"/>
  <c r="B438" i="6"/>
  <c r="C437" i="6"/>
  <c r="B437" i="6"/>
  <c r="C436" i="6"/>
  <c r="B436" i="6"/>
  <c r="C435" i="6"/>
  <c r="B435" i="6"/>
  <c r="C434" i="6"/>
  <c r="B434" i="6"/>
  <c r="C433" i="6"/>
  <c r="B433" i="6"/>
  <c r="C432" i="6"/>
  <c r="B432" i="6"/>
  <c r="C431" i="6"/>
  <c r="B431" i="6"/>
  <c r="C430" i="6"/>
  <c r="B430" i="6"/>
  <c r="C429" i="6"/>
  <c r="B429" i="6"/>
  <c r="C428" i="6"/>
  <c r="B428" i="6"/>
  <c r="C427" i="6"/>
  <c r="B427" i="6"/>
  <c r="C426" i="6"/>
  <c r="B426" i="6"/>
  <c r="C425" i="6"/>
  <c r="B425" i="6"/>
  <c r="C424" i="6"/>
  <c r="B424" i="6"/>
  <c r="C423" i="6"/>
  <c r="B423" i="6"/>
  <c r="C422" i="6"/>
  <c r="B422" i="6"/>
  <c r="C421" i="6"/>
  <c r="B421" i="6"/>
  <c r="C420" i="6"/>
  <c r="B420" i="6"/>
  <c r="C419" i="6"/>
  <c r="B419" i="6"/>
  <c r="C418" i="6"/>
  <c r="B418" i="6"/>
  <c r="C417" i="6"/>
  <c r="B417" i="6"/>
  <c r="C416" i="6"/>
  <c r="B416" i="6"/>
  <c r="C415" i="6"/>
  <c r="B415" i="6"/>
  <c r="C414" i="6"/>
  <c r="B414" i="6"/>
  <c r="C413" i="6"/>
  <c r="B413" i="6"/>
  <c r="C412" i="6"/>
  <c r="B412" i="6"/>
  <c r="C411" i="6"/>
  <c r="B411" i="6"/>
  <c r="C410" i="6"/>
  <c r="B410" i="6"/>
  <c r="C409" i="6"/>
  <c r="B409" i="6"/>
  <c r="C408" i="6"/>
  <c r="B408" i="6"/>
  <c r="C407" i="6"/>
  <c r="B407" i="6"/>
  <c r="C406" i="6"/>
  <c r="B406" i="6"/>
  <c r="C405" i="6"/>
  <c r="B405" i="6"/>
  <c r="C404" i="6"/>
  <c r="B404" i="6"/>
  <c r="C403" i="6"/>
  <c r="B403" i="6"/>
  <c r="C402" i="6"/>
  <c r="B402" i="6"/>
  <c r="C401" i="6"/>
  <c r="B401" i="6"/>
  <c r="C400" i="6"/>
  <c r="B400" i="6"/>
  <c r="C399" i="6"/>
  <c r="B399" i="6"/>
  <c r="C398" i="6"/>
  <c r="B398" i="6"/>
  <c r="C397" i="6"/>
  <c r="B397" i="6"/>
  <c r="C396" i="6"/>
  <c r="B396" i="6"/>
  <c r="C395" i="6"/>
  <c r="B395" i="6"/>
  <c r="C394" i="6"/>
  <c r="B394" i="6"/>
  <c r="C393" i="6"/>
  <c r="B393" i="6"/>
  <c r="C392" i="6"/>
  <c r="B392" i="6"/>
  <c r="C391" i="6"/>
  <c r="B391" i="6"/>
  <c r="C390" i="6"/>
  <c r="B390" i="6"/>
  <c r="C389" i="6"/>
  <c r="B389" i="6"/>
  <c r="C388" i="6"/>
  <c r="B388" i="6"/>
  <c r="C387" i="6"/>
  <c r="B387" i="6"/>
  <c r="C386" i="6"/>
  <c r="B386" i="6"/>
  <c r="C385" i="6"/>
  <c r="B385" i="6"/>
  <c r="C384" i="6"/>
  <c r="B384" i="6"/>
  <c r="C383" i="6"/>
  <c r="B383" i="6"/>
  <c r="C382" i="6"/>
  <c r="B382" i="6"/>
  <c r="C381" i="6"/>
  <c r="B381" i="6"/>
  <c r="C380" i="6"/>
  <c r="B380" i="6"/>
  <c r="C379" i="6"/>
  <c r="B379" i="6"/>
  <c r="C378" i="6"/>
  <c r="B378" i="6"/>
  <c r="C377" i="6"/>
  <c r="B377" i="6"/>
  <c r="C376" i="6"/>
  <c r="B376" i="6"/>
  <c r="C375" i="6"/>
  <c r="B375" i="6"/>
  <c r="C374" i="6"/>
  <c r="B374" i="6"/>
  <c r="C373" i="6"/>
  <c r="B373" i="6"/>
  <c r="C372" i="6"/>
  <c r="B372" i="6"/>
  <c r="C371" i="6"/>
  <c r="B371" i="6"/>
  <c r="C370" i="6"/>
  <c r="B370" i="6"/>
  <c r="C369" i="6"/>
  <c r="B369" i="6"/>
  <c r="C368" i="6"/>
  <c r="B368" i="6"/>
  <c r="C367" i="6"/>
  <c r="B367" i="6"/>
  <c r="C366" i="6"/>
  <c r="B366" i="6"/>
  <c r="C365" i="6"/>
  <c r="B365" i="6"/>
  <c r="C364" i="6"/>
  <c r="B364" i="6"/>
  <c r="C363" i="6"/>
  <c r="B363" i="6"/>
  <c r="C362" i="6"/>
  <c r="B362" i="6"/>
  <c r="C361" i="6"/>
  <c r="B361" i="6"/>
  <c r="C360" i="6"/>
  <c r="B360" i="6"/>
  <c r="C359" i="6"/>
  <c r="B359" i="6"/>
  <c r="C358" i="6"/>
  <c r="B358" i="6"/>
  <c r="C357" i="6"/>
  <c r="B357" i="6"/>
  <c r="C356" i="6"/>
  <c r="B356" i="6"/>
  <c r="C355" i="6"/>
  <c r="B355" i="6"/>
  <c r="C354" i="6"/>
  <c r="B354" i="6"/>
  <c r="C353" i="6"/>
  <c r="B353" i="6"/>
  <c r="C352" i="6"/>
  <c r="B352" i="6"/>
  <c r="C351" i="6"/>
  <c r="B351" i="6"/>
  <c r="C350" i="6"/>
  <c r="B350" i="6"/>
  <c r="C349" i="6"/>
  <c r="B349" i="6"/>
  <c r="C348" i="6"/>
  <c r="B348" i="6"/>
  <c r="C347" i="6"/>
  <c r="B347" i="6"/>
  <c r="C346" i="6"/>
  <c r="B346" i="6"/>
  <c r="C345" i="6"/>
  <c r="B345" i="6"/>
  <c r="C344" i="6"/>
  <c r="B344" i="6"/>
  <c r="C343" i="6"/>
  <c r="B343" i="6"/>
  <c r="C342" i="6"/>
  <c r="B342" i="6"/>
  <c r="C341" i="6"/>
  <c r="B341" i="6"/>
  <c r="C340" i="6"/>
  <c r="B340" i="6"/>
  <c r="C339" i="6"/>
  <c r="B339" i="6"/>
  <c r="C338" i="6"/>
  <c r="B338" i="6"/>
  <c r="C337" i="6"/>
  <c r="B337" i="6"/>
  <c r="C336" i="6"/>
  <c r="B336" i="6"/>
  <c r="C335" i="6"/>
  <c r="B335" i="6"/>
  <c r="C334" i="6"/>
  <c r="B334" i="6"/>
  <c r="C333" i="6"/>
  <c r="B333" i="6"/>
  <c r="C332" i="6"/>
  <c r="B332" i="6"/>
  <c r="C331" i="6"/>
  <c r="B331" i="6"/>
  <c r="C330" i="6"/>
  <c r="B330" i="6"/>
  <c r="C329" i="6"/>
  <c r="B329" i="6"/>
  <c r="C328" i="6"/>
  <c r="B328" i="6"/>
  <c r="C327" i="6"/>
  <c r="B327" i="6"/>
  <c r="C326" i="6"/>
  <c r="B326" i="6"/>
  <c r="C325" i="6"/>
  <c r="B325" i="6"/>
  <c r="C324" i="6"/>
  <c r="B324" i="6"/>
  <c r="C323" i="6"/>
  <c r="B323" i="6"/>
  <c r="C322" i="6"/>
  <c r="B322" i="6"/>
  <c r="C321" i="6"/>
  <c r="B321" i="6"/>
  <c r="C320" i="6"/>
  <c r="B320" i="6"/>
  <c r="C319" i="6"/>
  <c r="B319" i="6"/>
  <c r="C318" i="6"/>
  <c r="B318" i="6"/>
  <c r="C317" i="6"/>
  <c r="B317" i="6"/>
  <c r="C316" i="6"/>
  <c r="B316" i="6"/>
  <c r="C315" i="6"/>
  <c r="B315" i="6"/>
  <c r="C314" i="6"/>
  <c r="B314" i="6"/>
  <c r="C313" i="6"/>
  <c r="B313" i="6"/>
  <c r="C312" i="6"/>
  <c r="B312" i="6"/>
  <c r="C311" i="6"/>
  <c r="B311" i="6"/>
  <c r="C310" i="6"/>
  <c r="B310" i="6"/>
  <c r="C309" i="6"/>
  <c r="B309" i="6"/>
  <c r="C308" i="6"/>
  <c r="B308" i="6"/>
  <c r="C307" i="6"/>
  <c r="B307" i="6"/>
  <c r="C306" i="6"/>
  <c r="B306" i="6"/>
  <c r="C305" i="6"/>
  <c r="B305" i="6"/>
  <c r="C304" i="6"/>
  <c r="B304" i="6"/>
  <c r="C303" i="6"/>
  <c r="B303" i="6"/>
  <c r="C302" i="6"/>
  <c r="B302" i="6"/>
  <c r="C301" i="6"/>
  <c r="B301" i="6"/>
  <c r="C300" i="6"/>
  <c r="B300" i="6"/>
  <c r="C299" i="6"/>
  <c r="B299" i="6"/>
  <c r="C298" i="6"/>
  <c r="B298" i="6"/>
  <c r="C297" i="6"/>
  <c r="B297" i="6"/>
  <c r="C296" i="6"/>
  <c r="B296" i="6"/>
  <c r="C295" i="6"/>
  <c r="B295" i="6"/>
  <c r="C294" i="6"/>
  <c r="B294" i="6"/>
  <c r="C293" i="6"/>
  <c r="B293" i="6"/>
  <c r="C292" i="6"/>
  <c r="B292" i="6"/>
  <c r="C291" i="6"/>
  <c r="B291" i="6"/>
  <c r="C290" i="6"/>
  <c r="B290" i="6"/>
  <c r="C289" i="6"/>
  <c r="B289" i="6"/>
  <c r="C288" i="6"/>
  <c r="B288" i="6"/>
  <c r="C287" i="6"/>
  <c r="B287" i="6"/>
  <c r="C286" i="6"/>
  <c r="B286" i="6"/>
  <c r="C285" i="6"/>
  <c r="B285" i="6"/>
  <c r="C284" i="6"/>
  <c r="B284" i="6"/>
  <c r="C283" i="6"/>
  <c r="B283" i="6"/>
  <c r="C282" i="6"/>
  <c r="B282" i="6"/>
  <c r="C281" i="6"/>
  <c r="B281" i="6"/>
  <c r="C280" i="6"/>
  <c r="B280" i="6"/>
  <c r="C279" i="6"/>
  <c r="B279" i="6"/>
  <c r="C278" i="6"/>
  <c r="B278" i="6"/>
  <c r="C277" i="6"/>
  <c r="B277" i="6"/>
  <c r="C276" i="6"/>
  <c r="B276" i="6"/>
  <c r="C275" i="6"/>
  <c r="B275" i="6"/>
  <c r="C274" i="6"/>
  <c r="B274" i="6"/>
  <c r="C273" i="6"/>
  <c r="B273" i="6"/>
  <c r="C272" i="6"/>
  <c r="B272" i="6"/>
  <c r="C271" i="6"/>
  <c r="B271" i="6"/>
  <c r="C270" i="6"/>
  <c r="B270" i="6"/>
  <c r="C269" i="6"/>
  <c r="B269" i="6"/>
  <c r="C268" i="6"/>
  <c r="B268" i="6"/>
  <c r="C267" i="6"/>
  <c r="B267" i="6"/>
  <c r="C266" i="6"/>
  <c r="B266" i="6"/>
  <c r="C265" i="6"/>
  <c r="B265" i="6"/>
  <c r="C264" i="6"/>
  <c r="B264" i="6"/>
  <c r="C263" i="6"/>
  <c r="B263" i="6"/>
  <c r="C262" i="6"/>
  <c r="B262" i="6"/>
  <c r="C261" i="6"/>
  <c r="B261" i="6"/>
  <c r="C260" i="6"/>
  <c r="B260" i="6"/>
  <c r="C259" i="6"/>
  <c r="B259" i="6"/>
  <c r="C258" i="6"/>
  <c r="B258" i="6"/>
  <c r="C257" i="6"/>
  <c r="B257" i="6"/>
  <c r="C256" i="6"/>
  <c r="B256" i="6"/>
  <c r="C255" i="6"/>
  <c r="B255" i="6"/>
  <c r="C254" i="6"/>
  <c r="B254" i="6"/>
  <c r="C253" i="6"/>
  <c r="B253" i="6"/>
  <c r="C252" i="6"/>
  <c r="B252" i="6"/>
  <c r="C251" i="6"/>
  <c r="B251" i="6"/>
  <c r="C250" i="6"/>
  <c r="B250" i="6"/>
  <c r="C249" i="6"/>
  <c r="B249" i="6"/>
  <c r="C248" i="6"/>
  <c r="B248" i="6"/>
  <c r="C247" i="6"/>
  <c r="B247" i="6"/>
  <c r="C246" i="6"/>
  <c r="B246" i="6"/>
  <c r="C245" i="6"/>
  <c r="B245" i="6"/>
  <c r="C244" i="6"/>
  <c r="B244" i="6"/>
  <c r="C243" i="6"/>
  <c r="B243" i="6"/>
  <c r="C242" i="6"/>
  <c r="B242" i="6"/>
  <c r="C241" i="6"/>
  <c r="B241" i="6"/>
  <c r="C240" i="6"/>
  <c r="B240" i="6"/>
  <c r="C239" i="6"/>
  <c r="B239" i="6"/>
  <c r="C238" i="6"/>
  <c r="B238" i="6"/>
  <c r="C237" i="6"/>
  <c r="B237" i="6"/>
  <c r="C236" i="6"/>
  <c r="B236" i="6"/>
  <c r="C235" i="6"/>
  <c r="B235" i="6"/>
  <c r="C234" i="6"/>
  <c r="B234" i="6"/>
  <c r="C233" i="6"/>
  <c r="B233" i="6"/>
  <c r="C232" i="6"/>
  <c r="B232" i="6"/>
  <c r="C231" i="6"/>
  <c r="B231" i="6"/>
  <c r="C230" i="6"/>
  <c r="B230" i="6"/>
  <c r="C229" i="6"/>
  <c r="B229" i="6"/>
  <c r="C228" i="6"/>
  <c r="B228" i="6"/>
  <c r="C227" i="6"/>
  <c r="B227" i="6"/>
  <c r="C226" i="6"/>
  <c r="B226" i="6"/>
  <c r="C225" i="6"/>
  <c r="B225" i="6"/>
  <c r="C224" i="6"/>
  <c r="B224" i="6"/>
  <c r="C223" i="6"/>
  <c r="B223" i="6"/>
  <c r="C222" i="6"/>
  <c r="B222" i="6"/>
  <c r="C221" i="6"/>
  <c r="B221" i="6"/>
  <c r="C220" i="6"/>
  <c r="B220" i="6"/>
  <c r="C219" i="6"/>
  <c r="B219" i="6"/>
  <c r="C218" i="6"/>
  <c r="B218" i="6"/>
  <c r="C217" i="6"/>
  <c r="B217" i="6"/>
  <c r="C216" i="6"/>
  <c r="B216" i="6"/>
  <c r="C215" i="6"/>
  <c r="B215" i="6"/>
  <c r="C214" i="6"/>
  <c r="B214" i="6"/>
  <c r="C213" i="6"/>
  <c r="B213" i="6"/>
  <c r="C212" i="6"/>
  <c r="B212" i="6"/>
  <c r="C211" i="6"/>
  <c r="B211" i="6"/>
  <c r="C210" i="6"/>
  <c r="B210" i="6"/>
  <c r="C209" i="6"/>
  <c r="B209" i="6"/>
  <c r="C208" i="6"/>
  <c r="B208" i="6"/>
  <c r="C207" i="6"/>
  <c r="B207" i="6"/>
  <c r="C206" i="6"/>
  <c r="B206" i="6"/>
  <c r="C205" i="6"/>
  <c r="B205" i="6"/>
  <c r="C204" i="6"/>
  <c r="B204" i="6"/>
  <c r="C203" i="6"/>
  <c r="B203" i="6"/>
  <c r="C202" i="6"/>
  <c r="B202" i="6"/>
  <c r="C201" i="6"/>
  <c r="B201" i="6"/>
  <c r="C200" i="6"/>
  <c r="B200" i="6"/>
  <c r="C199" i="6"/>
  <c r="B199" i="6"/>
  <c r="C198" i="6"/>
  <c r="B198" i="6"/>
  <c r="C197" i="6"/>
  <c r="B197" i="6"/>
  <c r="C196" i="6"/>
  <c r="B196" i="6"/>
  <c r="C195" i="6"/>
  <c r="B195" i="6"/>
  <c r="C194" i="6"/>
  <c r="B194" i="6"/>
  <c r="C193" i="6"/>
  <c r="B193" i="6"/>
  <c r="C192" i="6"/>
  <c r="B192" i="6"/>
  <c r="C191" i="6"/>
  <c r="B191" i="6"/>
  <c r="C190" i="6"/>
  <c r="B190" i="6"/>
  <c r="C189" i="6"/>
  <c r="B189" i="6"/>
  <c r="C188" i="6"/>
  <c r="B188" i="6"/>
  <c r="C187" i="6"/>
  <c r="B187" i="6"/>
  <c r="C186" i="6"/>
  <c r="B186" i="6"/>
  <c r="C185" i="6"/>
  <c r="B185" i="6"/>
  <c r="C184" i="6"/>
  <c r="B184" i="6"/>
  <c r="C183" i="6"/>
  <c r="B183" i="6"/>
  <c r="C182" i="6"/>
  <c r="B182" i="6"/>
  <c r="C181" i="6"/>
  <c r="B181" i="6"/>
  <c r="C180" i="6"/>
  <c r="B180" i="6"/>
  <c r="C179" i="6"/>
  <c r="B179" i="6"/>
  <c r="C178" i="6"/>
  <c r="B178" i="6"/>
  <c r="C177" i="6"/>
  <c r="B177" i="6"/>
  <c r="C176" i="6"/>
  <c r="B176" i="6"/>
  <c r="C175" i="6"/>
  <c r="B175" i="6"/>
  <c r="C174" i="6"/>
  <c r="B174" i="6"/>
  <c r="C173" i="6"/>
  <c r="B173" i="6"/>
  <c r="C172" i="6"/>
  <c r="B172" i="6"/>
  <c r="C171" i="6"/>
  <c r="B171" i="6"/>
  <c r="C170" i="6"/>
  <c r="B170" i="6"/>
  <c r="C169" i="6"/>
  <c r="B169" i="6"/>
  <c r="C168" i="6"/>
  <c r="B168" i="6"/>
  <c r="C167" i="6"/>
  <c r="B167" i="6"/>
  <c r="C166" i="6"/>
  <c r="B166" i="6"/>
  <c r="C165" i="6"/>
  <c r="B165" i="6"/>
  <c r="C164" i="6"/>
  <c r="B164" i="6"/>
  <c r="C163" i="6"/>
  <c r="B163" i="6"/>
  <c r="C162" i="6"/>
  <c r="B162" i="6"/>
  <c r="C161" i="6"/>
  <c r="B161" i="6"/>
  <c r="C160" i="6"/>
  <c r="B160" i="6"/>
  <c r="C159" i="6"/>
  <c r="B159" i="6"/>
  <c r="C158" i="6"/>
  <c r="B158" i="6"/>
  <c r="C157" i="6"/>
  <c r="B157" i="6"/>
  <c r="C156" i="6"/>
  <c r="B156" i="6"/>
  <c r="C155" i="6"/>
  <c r="B155" i="6"/>
  <c r="C154" i="6"/>
  <c r="B154" i="6"/>
  <c r="C153" i="6"/>
  <c r="B153" i="6"/>
  <c r="C152" i="6"/>
  <c r="B152" i="6"/>
  <c r="C151" i="6"/>
  <c r="B151" i="6"/>
  <c r="C150" i="6"/>
  <c r="B150" i="6"/>
  <c r="C149" i="6"/>
  <c r="B149" i="6"/>
  <c r="C148" i="6"/>
  <c r="B148" i="6"/>
  <c r="C147" i="6"/>
  <c r="B147" i="6"/>
  <c r="C146" i="6"/>
  <c r="B146" i="6"/>
  <c r="C145" i="6"/>
  <c r="B145" i="6"/>
  <c r="C144" i="6"/>
  <c r="B144" i="6"/>
  <c r="C143" i="6"/>
  <c r="B143" i="6"/>
  <c r="C142" i="6"/>
  <c r="B142" i="6"/>
  <c r="C141" i="6"/>
  <c r="B141" i="6"/>
  <c r="C140" i="6"/>
  <c r="B140" i="6"/>
  <c r="C139" i="6"/>
  <c r="B139" i="6"/>
  <c r="C138" i="6"/>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3" i="7"/>
</calcChain>
</file>

<file path=xl/sharedStrings.xml><?xml version="1.0" encoding="utf-8"?>
<sst xmlns="http://schemas.openxmlformats.org/spreadsheetml/2006/main" count="339" uniqueCount="296">
  <si>
    <t>KẾ HOẠCH KIỂM THỬ PHẦN MỀM – SOAK TEST (MEMORY/CONNECTION LEAK)</t>
  </si>
  <si>
    <t>1. Giới thiệu</t>
  </si>
  <si>
    <t>Mô tả kiểm thử</t>
  </si>
  <si>
    <t>Soak testing (chạy dài) nhằm quan sát tính ổn định của hệ thống theo thời gian và phát hiện rò rỉ/bất thường tài nguyên như memory leak và connection leak.</t>
  </si>
  <si>
    <t>Mục tiêu</t>
  </si>
  <si>
    <t>Lịch trình dự kiến</t>
  </si>
  <si>
    <t>2. Yêu cầu tài nguyên</t>
  </si>
  <si>
    <t>Phần cứng</t>
  </si>
  <si>
    <t>Máy chạy test có CPU/RAM đủ để chạy ứng dụng + DB; đảm bảo trong thời gian chạy không có tác vụ nền chiếm tài nguyên lớn.</t>
  </si>
  <si>
    <t>Phần mềm</t>
  </si>
  <si>
    <t>Nhân sự</t>
  </si>
  <si>
    <t>Đào tạo/Chuẩn bị</t>
  </si>
  <si>
    <t>3. Tính năng/hoạt động được kiểm thử và phương pháp</t>
  </si>
  <si>
    <t>Hoạt động kiểm thử (Workload)</t>
  </si>
  <si>
    <t>1 scenario chạy ổn định: CRUD loop (Insert/Update/Delete/Select) + Idle xen kẽ.
Mục đích là duy trì hoạt động lặp lại để quan sát xu hướng tài nguyên theo thời gian.</t>
  </si>
  <si>
    <t>Phương pháp</t>
  </si>
  <si>
    <t>4. Các nội dung không được kiểm thử</t>
  </si>
  <si>
    <t>Ngoài phạm vi</t>
  </si>
  <si>
    <t>5. Các đầu ra của kiểm thử</t>
  </si>
  <si>
    <t>Deliverables</t>
  </si>
  <si>
    <t>6. Các phụ thuộc</t>
  </si>
  <si>
    <t>Dependencies</t>
  </si>
  <si>
    <t>7. Tiêu chí vào/ra (Entry/Exit Criteria)</t>
  </si>
  <si>
    <t>Tiêu chí vào (Entry)</t>
  </si>
  <si>
    <t>Tiêu chí ra (Exit)</t>
  </si>
  <si>
    <t>Tiêu chí PASS/FAIL chính (tóm tắt)</t>
  </si>
  <si>
    <t>Chỉ số</t>
  </si>
  <si>
    <t>Cách đánh giá</t>
  </si>
  <si>
    <t>Ngưỡng/Điều kiện</t>
  </si>
  <si>
    <t>Kết luận mẫu</t>
  </si>
  <si>
    <t>RAM Growth Rate</t>
  </si>
  <si>
    <t>Tính theo xu hướng (MB/giờ)</t>
  </si>
  <si>
    <t>≤ 200 MB/giờ</t>
  </si>
  <si>
    <t>Hiện tại: 538.92 (nếu &gt; ngưỡng ⇒ FAIL)</t>
  </si>
  <si>
    <t>Handles/Threads</t>
  </si>
  <si>
    <t>Không tăng kéo dài theo thời gian</t>
  </si>
  <si>
    <t>Trend ổn định/dao động nhỏ</t>
  </si>
  <si>
    <t>Nếu tăng dần ⇒ nghi leak tài nguyên</t>
  </si>
  <si>
    <t>SQL Connections</t>
  </si>
  <si>
    <t>Active/Sleeping không tăng kéo dài</t>
  </si>
  <si>
    <t>Không tăng dần theo thời gian</t>
  </si>
  <si>
    <t>Nếu tăng dần ⇒ nghi connection leak</t>
  </si>
  <si>
    <t>Errors/Timeout</t>
  </si>
  <si>
    <t>Không phát sinh lỗi nghiêm trọng</t>
  </si>
  <si>
    <t>0 critical; không timeout hàng loạt</t>
  </si>
  <si>
    <t>Hiện tại: 0 lỗi</t>
  </si>
  <si>
    <t>Gợi ý: Xem số liệu gốc ở sheet 'Metrics Log' và kết luận ở sheet 'Summary'/'Chart'.</t>
  </si>
  <si>
    <t>BÁO CÁO TÓM TẮT KIỂM THỬ</t>
  </si>
  <si>
    <t>Giới thiệu</t>
  </si>
  <si>
    <t>Giới thiệu:</t>
  </si>
  <si>
    <t>Báo cáo tóm tắt này tổng hợp kết quả soak test (chạy dài) nhằm đánh giá tính ổn định theo thời gian và phát hiện bất thường/rò rỉ tài nguyên (RAM/handles/threads) và rò rỉ kết nối (DB connections).</t>
  </si>
  <si>
    <t>Mục kiểm thử:</t>
  </si>
  <si>
    <t>Hệ thống/ứng dụng được kiểm thử trong kịch bản soak test 01 scenario (CRUD loop + idle).</t>
  </si>
  <si>
    <t>Tài liệu tham khảo:</t>
  </si>
  <si>
    <t>Kế hoạch kiểm thử (sheet 'Kế hoạch kiểm thử phần mềm'), Trường hợp kiểm thử (sheet 'Các trường hợp kiểm thử'), Metrics Log, Chart, Báo cáo lỗi.</t>
  </si>
  <si>
    <t>Tóm tắt kiểm thử</t>
  </si>
  <si>
    <t>a) Thông tin Trường hợp Kiểm Thử</t>
  </si>
  <si>
    <t>Chỉ tiêu</t>
  </si>
  <si>
    <t>Số lượng</t>
  </si>
  <si>
    <t>Ghi chú</t>
  </si>
  <si>
    <t>Số trường hợp kiểm thử dự kiến</t>
  </si>
  <si>
    <t>01 scenario chạy dài (soak test)</t>
  </si>
  <si>
    <t>Số trường hợp kiểm thử đã triển khai</t>
  </si>
  <si>
    <t>Đã định nghĩa TC-SOAK-01</t>
  </si>
  <si>
    <t>Số trường hợp kiểm thử đã thực hiện</t>
  </si>
  <si>
    <t>Chạy 90 phút, lấy mẫu mỗi 5 phút</t>
  </si>
  <si>
    <t>Số trường hợp kiểm thử thành công</t>
  </si>
  <si>
    <t>Số trường hợp kiểm thử thất bại</t>
  </si>
  <si>
    <t>FAIL do RAM growth rate vượt ngưỡng</t>
  </si>
  <si>
    <t>Số trường hợp kiểm thử đang chờ xử lý</t>
  </si>
  <si>
    <t>b) Thông tin Báo Cáo Lỗi</t>
  </si>
  <si>
    <t>Tổng số lỗi phát hiện</t>
  </si>
  <si>
    <t>Tổng hợp từ sheet 'Báo cáo lỗi'</t>
  </si>
  <si>
    <t>Số lỗi phát hiện trong kiểm thử chức năng</t>
  </si>
  <si>
    <t>Không phải mục tiêu chính của soak test</t>
  </si>
  <si>
    <t>Số lỗi phát hiện trong chu trình kiểm thử hồi quy 1</t>
  </si>
  <si>
    <t>Không áp dụng trong bài này</t>
  </si>
  <si>
    <t>Số lỗi phát hiện trong chu trình kiểm thử hồi quy 2</t>
  </si>
  <si>
    <t>Số lỗi phát hiện trong soak/performance</t>
  </si>
  <si>
    <t>RAM tăng quá mức (nghi memory leak)</t>
  </si>
  <si>
    <t>Kết luận</t>
  </si>
  <si>
    <t>Kết luận &amp; khuyến nghị:</t>
  </si>
  <si>
    <t>Kết luận chung: FAIL.
Lý do: RAM growth rate ≈ 538.92 MB/giờ &gt; 200 MB/giờ.
Khuyến nghị: kiểm tra nguyên nhân memory leak (cache không giới hạn, giữ reference, không giải phóng tài nguyên), sau đó chạy lại soak test để xác nhận.</t>
  </si>
  <si>
    <t>ID lỗi</t>
  </si>
  <si>
    <t>TC ID</t>
  </si>
  <si>
    <t>Mô tả lỗi (Tóm tắt)</t>
  </si>
  <si>
    <t>Phiên bản sản phẩm</t>
  </si>
  <si>
    <t>Mức độ nghiêm trọng</t>
  </si>
  <si>
    <t>Mức độ ưu tiên</t>
  </si>
  <si>
    <t>Giao cho</t>
  </si>
  <si>
    <t>Người báo cáo</t>
  </si>
  <si>
    <t>Ngày báo cáo</t>
  </si>
  <si>
    <t>Lý do</t>
  </si>
  <si>
    <t>Tình trạng</t>
  </si>
  <si>
    <t>Môi trường</t>
  </si>
  <si>
    <t>Mô tả (Chi tiết)</t>
  </si>
  <si>
    <t>Các bước tái tạo lỗi</t>
  </si>
  <si>
    <t>Kết quả mong đợi</t>
  </si>
  <si>
    <t>Kết quả thực tế</t>
  </si>
  <si>
    <t>Bằng chứng/Đính kèm</t>
  </si>
  <si>
    <t>TC-SOAK-01</t>
  </si>
  <si>
    <t>RAM tăng bất thường vượt ngưỡng trong soak test (nghi memory leak)</t>
  </si>
  <si>
    <t>Phiên bản 1</t>
  </si>
  <si>
    <t>Cao</t>
  </si>
  <si>
    <t>(Chưa phân công)</t>
  </si>
  <si>
    <t>11/02/2026</t>
  </si>
  <si>
    <t>Vi phạm tiêu chí PASS/FAIL về tài nguyên (RAM growth rate)</t>
  </si>
  <si>
    <t>Mới/Open</t>
  </si>
  <si>
    <t>Theo sheet Kế hoạch kiểm thử phần mềm</t>
  </si>
  <si>
    <t>Trong soak test 90 phút, RAM tăng mạnh theo thời gian và vượt ngưỡng.
RAM First=3.8 MB; RAM Last=812.156 MB; Growth Rate≈538.92 MB/giờ (&gt; 200).
Tổng lỗi ghi nhận: 0.</t>
  </si>
  <si>
    <t>1) Mở ứng dụng và đảm bảo hệ thống sẵn sàng.
2) Chạy workload ổn định (CRUD loop + idle xen kẽ) theo kế hoạch.
3) Chạy liên tục 90 phút.
4) Ghi Metrics Log mỗi 5 phút.
5) Kết thúc và xem Summary/Chart.</t>
  </si>
  <si>
    <t>RAM ổn định sau warm-up; Growth Rate ≤ 200 MB/giờ.</t>
  </si>
  <si>
    <t>Growth Rate≈538.92 MB/giờ &gt; 200 MB/giờ ⇒ FAIL (nghi memory leak).</t>
  </si>
  <si>
    <t>Summary/Chart/Metrics Log trong workbook</t>
  </si>
  <si>
    <t>MỤC TIÊU KIỂM THỬ (SOAK TEST – MEMORY/CONNECTION LEAK)</t>
  </si>
  <si>
    <t>Hạng mục</t>
  </si>
  <si>
    <t>Nội dung</t>
  </si>
  <si>
    <t>Mục tiêu chính</t>
  </si>
  <si>
    <t>Phát hiện bất thường/rò rỉ tài nguyên khi hệ thống chạy dài (soak testing), tập trung vào memory leak và connection leak.</t>
  </si>
  <si>
    <t>Mục tiêu cụ thể</t>
  </si>
  <si>
    <t>1) Theo dõi xu hướng (trend) RAM/CPU/Handles/Threads theo thời gian.
2) Theo dõi xu hướng SQL Active/Sleeping connections để phát hiện connection leak.
3) Đánh giá PASS/FAIL dựa trên ngưỡng đã đặt (ví dụ: RAM growth rate).</t>
  </si>
  <si>
    <t>Phạm vi</t>
  </si>
  <si>
    <t>Chỉ thực hiện 01 test case dạng kịch bản chạy dài (soak test scenario) để quan sát xu hướng tài nguyên và phát hiện memory/connection leak.</t>
  </si>
  <si>
    <t>Không kiểm thử đầy đủ chức năng (black-box/white-box). Không benchmark tải cực đại (stress).</t>
  </si>
  <si>
    <t>Tiêu chí thành công</t>
  </si>
  <si>
    <t>PASS nếu RAM growth rate ≤ 200 MB/giờ và các chỉ số khác không tăng kéo dài; FAIL nếu vượt ngưỡng hoặc có lỗi/timeout nghiêm trọng.</t>
  </si>
  <si>
    <t>Đầu ra mong đợi</t>
  </si>
  <si>
    <t>1) Metrics Log (dữ liệu theo thời gian)
2) Biểu đồ xu hướng
3) Báo cáo tóm tắt kiểm thử
4) Báo cáo lỗi (nếu FAIL)</t>
  </si>
  <si>
    <t>SOAK TEST PLAN TEMPLATE (Memory Leak / Connection Leak)</t>
  </si>
  <si>
    <t>Version:</t>
  </si>
  <si>
    <t>1.0</t>
  </si>
  <si>
    <t>Last updated:</t>
  </si>
  <si>
    <t>1) Test Information</t>
  </si>
  <si>
    <t>Test ID</t>
  </si>
  <si>
    <t>ST-001</t>
  </si>
  <si>
    <t>Test Name</t>
  </si>
  <si>
    <t>Kiểm thử độ bền (soak test) cho WinForms Gym Management (SQL Server stored procedures)</t>
  </si>
  <si>
    <t>Test Objective</t>
  </si>
  <si>
    <t>Phát hiện rò rỉ bộ nhớ (tăng dung lượng RAM) và/hoặc rò rỉ kết nối (tăng số lượng kết nối SQL) trong quá trình thực thi kéo dài.</t>
  </si>
  <si>
    <t>System Under Test (SUT)</t>
  </si>
  <si>
    <t>GymManagement WinForms (local build)</t>
  </si>
  <si>
    <t>Database</t>
  </si>
  <si>
    <t>SQL Server (local) - Instance: LAPTOP-5P15D2CV\MSSQLSERVER01; Database: GymManagement</t>
  </si>
  <si>
    <t>Tester - Reviewed By</t>
  </si>
  <si>
    <t>Trần Trọng Hiếu - ThS. Phạm Trọng Huynh</t>
  </si>
  <si>
    <t>Test Date</t>
  </si>
  <si>
    <t>2026-02-01</t>
  </si>
  <si>
    <t>Planned Duration (minutes)</t>
  </si>
  <si>
    <t>Actual Duration (minutes)</t>
  </si>
  <si>
    <t>2) Environment</t>
  </si>
  <si>
    <t>OS / Version</t>
  </si>
  <si>
    <t>Windows (local machine, offline/no internet)</t>
  </si>
  <si>
    <t>CPU</t>
  </si>
  <si>
    <t>Intel i5-1035G1</t>
  </si>
  <si>
    <t>RAM</t>
  </si>
  <si>
    <t>20GB</t>
  </si>
  <si>
    <t>Disk</t>
  </si>
  <si>
    <t>SSD</t>
  </si>
  <si>
    <t>SQL Server Version</t>
  </si>
  <si>
    <t>SQL Server 2022 (local SQL Server instance)</t>
  </si>
  <si>
    <t>Network</t>
  </si>
  <si>
    <t>Local (no internet / no LAN dependency)</t>
  </si>
  <si>
    <t>3) Workload Profile (Stable Load)</t>
  </si>
  <si>
    <t>Scenario(s)</t>
  </si>
  <si>
    <t>Vòng lặp CRUD thủ công: Tải danh sách → Chèn → Cập nhật → Xóa (lặp lại); thỉnh thoảng có khoảng thời gian chờ.</t>
  </si>
  <si>
    <t>Delay between iterations (ms)</t>
  </si>
  <si>
    <t>Thủ công (do người dùng điều khiển)</t>
  </si>
  <si>
    <t>Concurrency (users / instances)</t>
  </si>
  <si>
    <t>1 user / 1 instance</t>
  </si>
  <si>
    <t>Test Data Strategy</t>
  </si>
  <si>
    <t>Sử dụng các bản ghi kiểm thử riêng biệt và dọn dẹp sau mỗi vòng lặp.</t>
  </si>
  <si>
    <t>4) Operations Included (Optional Detail)</t>
  </si>
  <si>
    <t>Operation</t>
  </si>
  <si>
    <t>Stored Procedure / Screen</t>
  </si>
  <si>
    <t>Success Check</t>
  </si>
  <si>
    <t>Notes</t>
  </si>
  <si>
    <t>SELECT</t>
  </si>
  <si>
    <t>sp_LayHocVien (frmHocVien.LoadData)</t>
  </si>
  <si>
    <t>Tải danh sách thành công, không crash/không popup lỗi</t>
  </si>
  <si>
    <t>INSERT</t>
  </si>
  <si>
    <t>sp_ThemHocVien (btnThem)</t>
  </si>
  <si>
    <t>Thêm học viên thành công, dữ liệu hiển thị lại đúng</t>
  </si>
  <si>
    <t>Dùng dữ liệu SOAK_* để dễ lọc/hoàn tác</t>
  </si>
  <si>
    <t>UPDATE</t>
  </si>
  <si>
    <t>sp_SuaHocVien (btnSua)</t>
  </si>
  <si>
    <t>Sửa học viên thành công, dữ liệu cập nhật đúng</t>
  </si>
  <si>
    <t>DELETE</t>
  </si>
  <si>
    <t>sp_XoaHocVien (btnXoa)</t>
  </si>
  <si>
    <t>Xóa học viên thành công, danh sách cập nhật đúng</t>
  </si>
  <si>
    <t>5) Monitoring &amp; Collection</t>
  </si>
  <si>
    <t>Sampling Interval (seconds)</t>
  </si>
  <si>
    <t>App Metrics</t>
  </si>
  <si>
    <t>RAM (MB), CPU (%), Handles, Threads, Error count</t>
  </si>
  <si>
    <t>DB Metrics</t>
  </si>
  <si>
    <t>SQL Active/Sleeping sessions được lọc theo program_name='GymWinFormsSoak'</t>
  </si>
  <si>
    <t>Tools</t>
  </si>
  <si>
    <t>Task Manager (Details) + SSMS DMV queries + Excel Metrics Log</t>
  </si>
  <si>
    <t>6) Pass/Fail Criteria (Adjust Thresholds)</t>
  </si>
  <si>
    <t>Metric</t>
  </si>
  <si>
    <t>Threshold (Input)</t>
  </si>
  <si>
    <t>Evaluation Method</t>
  </si>
  <si>
    <t>Pass/Fail</t>
  </si>
  <si>
    <t>RAM growth (MB/hour)</t>
  </si>
  <si>
    <t>≤ 200</t>
  </si>
  <si>
    <t>So sánh dung lượng RAM đầu tiên và cuối cùng; chuyển đổi sang MB/giờ.</t>
  </si>
  <si>
    <t>FAIL – Growth ≈ 538.92 MB/hour (&gt; 200). Nghi ngờ rò rỉ bộ nhớ (RAM tăng đột biến (spiked) lên đến 812 MB).</t>
  </si>
  <si>
    <t>CPU average (%)</t>
  </si>
  <si>
    <t>≤ 70</t>
  </si>
  <si>
    <t>Mức sử dụng CPU trung bình trong suốt thời gian thử nghiệm.</t>
  </si>
  <si>
    <t>PASS – Avg CPU ≈ 1.18% (≤ 70)</t>
  </si>
  <si>
    <t>SQL active connections (max)</t>
  </si>
  <si>
    <t>Không có sự gia tăng bền vững</t>
  </si>
  <si>
    <t>Kiểm tra xem giá trị tối đa có tăng theo thời gian hay không.</t>
  </si>
  <si>
    <t>PASS – Max Active = 0 (không quan sát thấy sự gia tăng bền vững nào.)</t>
  </si>
  <si>
    <t>Errors</t>
  </si>
  <si>
    <t>0 lỗi nghiêm trọng</t>
  </si>
  <si>
    <t>Đếm số lần hết thời gian chờ/kết nối bị gián đoạn/sự cố sập hệ thống</t>
  </si>
  <si>
    <t>PASS – Tổng lỗi nghiêm trọng = 0</t>
  </si>
  <si>
    <t>Handles (trend)</t>
  </si>
  <si>
    <t>Kiểm tra xem số lượng handle có tăng đều đặn theo thời gian hay không.</t>
  </si>
  <si>
    <t xml:space="preserve">OBSERVE – Handles đã tăng 297 → 625 (xu hướng tăng). </t>
  </si>
  <si>
    <t>Threads (trend)</t>
  </si>
  <si>
    <t>Kiểm tra xem số lượng luồng có tăng đều đặn theo thời gian hay không.</t>
  </si>
  <si>
    <t>PASS – Threads ổn định (min 4, max 12, last 7)</t>
  </si>
  <si>
    <t>SQL sleeping connections (trend)</t>
  </si>
  <si>
    <t>Kiểm tra xem các kết nối ngủ đông có tăng dần theo thời gian hay không.</t>
  </si>
  <si>
    <t>PASS – Sleeping sessions ổn định (max 1)</t>
  </si>
  <si>
    <t>7) Notes / Observations</t>
  </si>
  <si>
    <t>Ghi lại các sự kiện đáng chú ý (chậm, giao diện người dùng bị treo, ngoại lệ), dấu thời gian và nguyên nhân nghi ngờ.
Quan sát (từ Nhật ký số liệu):
- Cửa sổ kiểm tra: 01/02/2026 09:00 đến 10:29 (~90 phút), lấy mẫu cứ sau ~5 phút.
- RAM: 3.800 → 812.156 MB; tối đa 812.156 MB; tăng trưởng ≈ 538.92 MB/giờ.
Có sự tăng đột biến đáng chú ý gần cuối quá trình chạy (lỗi chèn/nghi ngờ rò rỉ bộ nhớ).
- CPU: trung bình 1.57%, tối đa 7.40%.
- Số lượng tiến trình xử lý: 297 → 625 (giám sát).
- Số luồng: ổn định.
- SQL: Tối đa đang hoạt động: 0, Tối đa đang ngủ: 1.
- Lỗi: 0.</t>
  </si>
  <si>
    <t>SOAK TEST METRICS LOG</t>
  </si>
  <si>
    <t>Start Timestamp</t>
  </si>
  <si>
    <t>Sampling Interval (sec)</t>
  </si>
  <si>
    <t>Timestamp</t>
  </si>
  <si>
    <t>Elapsed (min)</t>
  </si>
  <si>
    <t>Iteration</t>
  </si>
  <si>
    <t>RAM (MB)</t>
  </si>
  <si>
    <t>CPU (%)</t>
  </si>
  <si>
    <t>Handles</t>
  </si>
  <si>
    <t>Threads</t>
  </si>
  <si>
    <t>SQL Active Conn</t>
  </si>
  <si>
    <t>SQL Sleeping Conn</t>
  </si>
  <si>
    <t>Error Message</t>
  </si>
  <si>
    <t>CRUD loop</t>
  </si>
  <si>
    <t>Idle</t>
  </si>
  <si>
    <t>SOAK TEST SUMMARY (calculated from Metrics Log)</t>
  </si>
  <si>
    <t>Last Timestamp</t>
  </si>
  <si>
    <t>Duration (min)</t>
  </si>
  <si>
    <t>RAM (MB) - First</t>
  </si>
  <si>
    <t>RAM (MB) - Last</t>
  </si>
  <si>
    <t>RAM (MB) - Min / Max / Avg</t>
  </si>
  <si>
    <t>3.8/812.16/53.647</t>
  </si>
  <si>
    <t>Format: values separated by '/'</t>
  </si>
  <si>
    <t>CPU (%) - Max / Avg</t>
  </si>
  <si>
    <t>7.4/1.574</t>
  </si>
  <si>
    <t>Handles - First / Last / Min / Max / Avg</t>
  </si>
  <si>
    <t>297/625/297/695/513.47</t>
  </si>
  <si>
    <t>SQL Active Conn - Max</t>
  </si>
  <si>
    <t>SQL Sleeping Conn - Max</t>
  </si>
  <si>
    <t>Threads - First / Last / Min / Max / Avg</t>
  </si>
  <si>
    <t>4/7/4/12/7.211</t>
  </si>
  <si>
    <t>Total Errors</t>
  </si>
  <si>
    <t>RAM Growth Rate (MB/hour)</t>
  </si>
  <si>
    <t>Interpretation Guide</t>
  </si>
  <si>
    <t>RAM growth trending upward suggests memory leak. SQL Active/Sleeping connections trending upward suggests connection leak. Investigate missing Dispose()/using blocks, open DataReaders, and unclosed connections.</t>
  </si>
  <si>
    <t>HOW TO USE THIS TEMPLATE (Quick Guide)</t>
  </si>
  <si>
    <t>1) Fill in the 'Soak Test Plan' sheet: Test Information, Environment, Workload Profile, Monitoring, and Pass/Fail thresholds.
2) Prepare your WinForms app and SQL Server test database. Use dedicated test records (e.g., prefix IDs with SOAK_) so the test does not affect real data.
3) Start the soak test and keep the workload stable (repeat CRUD loop). Run for 20–60 minutes depending on your machine.
4) In 'Metrics Log', set Start Timestamp (cell B2). Then record samples every Sampling Interval seconds (e.g., 60s): Timestamp, Response Time, RAM, CPU, SQL connections, errors.
   - RAM/CPU can be read from Task Manager or Performance Monitor.
   - SQL connections can be checked with SQL Server Activity Monitor or by querying DMVs (e.g., sessions by program_name).
5) Review 'Summary' to see auto-calculated min/max/avg and RAM growth rate. Use this in your report to argue whether there is memory leak / connection leak.
6) Attach your CSV/log screenshots and any SQL queries used as evidence.</t>
  </si>
  <si>
    <t>Mục đích</t>
  </si>
  <si>
    <t>Điều kiện tiên quyết</t>
  </si>
  <si>
    <t>Các bước thực hiện</t>
  </si>
  <si>
    <t>Mong đợi</t>
  </si>
  <si>
    <t>Tiêu chí đánh giá (Pass/Fail)</t>
  </si>
  <si>
    <t>Trạng thái (Pass/Fail)</t>
  </si>
  <si>
    <t>Chạy soak test (chạy dài) để phát hiện memory leak/connection leak dựa trên xu hướng metrics.</t>
  </si>
  <si>
    <t>1) Khởi động ứng dụng và đảm bảo trạng thái ổn định.
2) Chạy workload ổn định (CRUD loop + idle xen kẽ).
3) Chạy liên tục trong 90 phút.
4) Mỗi 5 phút ghi 1 mốc vào Metrics Log (RAM/CPU/Handles/Threads/SQL Conn).
5) Kết thúc chạy, xem Summary/Chart để kết luận PASS/FAIL.
6) Nếu FAIL, tạo bug report và đính kèm bằng chứng (số liệu/biểu đồ).</t>
  </si>
  <si>
    <t>- RAM growth rate ≤ 200 MB/giờ (vượt ngưỡng ⇒ FAIL, nghi memory leak)
- Handles/Threads không tăng kéo dài
- SQL Active/Sleeping connections không tăng kéo dài (tăng dần ⇒ nghi connection leak)
- Errors/Timeout: 0 lỗi nghiêm trọng</t>
  </si>
  <si>
    <t>RAM First=3.8 MB; RAM Last=812.156 MB; Growth Rate≈538.92 MB/giờ.
Các chỉ số khác tham khảo Metrics Log/Chart.
Tổng lỗi: 0.</t>
  </si>
  <si>
    <t>FAIL</t>
  </si>
  <si>
    <t xml:space="preserve"> Metrics Log: dữ liệu theo thời gian (sheet Metrics Log).
 Báo cáo tóm tắt: kết quả PASS/FAIL, số liệu tổng hợp (sheet Summary).
 Biểu đồ xu hướng: RAM/Handles/Connections (sheet Chart).
 Báo cáo lỗi (nếu FAIL): sheet Báo cáo lỗi.</t>
  </si>
  <si>
    <t xml:space="preserve"> DB hoạt động ổn định và có dữ liệu test.
 Quyền truy cập để xem thống kê connection (nếu cần).
 Máy test ổn định, hạn chế ứng dụng khác chạy nền.
 Đồng hồ thời gian/sampling nhất quán.</t>
  </si>
  <si>
    <t xml:space="preserve"> Nắm quy trình chạy soak test và cách ghi Metrics Log.
 Biết cách đọc biểu đồ xu hướng và so sánh với ngưỡng PASS/FAIL.
 Biết cách lập bug khi vượt ngưỡng.</t>
  </si>
  <si>
    <t xml:space="preserve"> Môi trường đã cài đặt xong SUT &amp; DB.
 Workload/kịch bản chạy được.
 Công cụ đo metrics hoạt động; file log ghi được.
 Ngưỡng PASS/FAIL đã thống nhất.</t>
  </si>
  <si>
    <t xml:space="preserve"> Chạy đủ thời lượng và thu đủ mốc metrics.
 Tổng hợp Summary và tạo/kiểm tra biểu đồ.
 Kết luận PASS/FAIL theo tiêu chí.
 Nếu FAIL: tạo bug report và đính kèm bằng chứng (số liệu/biểu đồ).</t>
  </si>
  <si>
    <t xml:space="preserve"> Môi trường test sẵn sàng (SUT + DB hoạt động).
 Workload ổn định (CRUD loop + idle).
 File ghi Metrics Log hoạt động; lấy mẫu mỗi 5 phút.
 Hạn chế tác vụ nền gây nhiễu tài nguyên.</t>
  </si>
  <si>
    <t>- Hệ thống chạy ổn định trong suốt thời gian test (không crash/timeout hàng loạt).
- Metrics không có xu hướng tăng kéo dài bất thường sau warm-up.
- RAM growth rate không vượt ngưỡng (≤ 200 MB/giờ).</t>
  </si>
  <si>
    <t>- Không kiểm thử đầy đủ chức năng theo hộp đen/hộp trắng.
- Không thực hiện stress/spike để tìm ngưỡng chịu tải.
- Không kiểm thử bảo mật/UI-UX.</t>
  </si>
  <si>
    <t>- Chạy liên tục trong 90 phút.
- Ghi metrics mỗi 300 giây
- Sau khi chạy: tổng hợp Summary + kiểm tra biểu đồ (Chart) để kết luận trend.</t>
  </si>
  <si>
    <t>- Phát hiện RAM tăng kéo dài/vượt ngưỡng (nghi memory leak).
- Theo dõi kết nối DB (active/sleeping) để phát hiện connection leak.
- Ghi nhận xu hướng Handles/Threads và lỗi/timeout nếu có.</t>
  </si>
  <si>
    <t xml:space="preserve"> Tester: Trần Trọng Hiếu - thực thi kịch bản chạy dài, ghi nhận số liệu.
 Reviewer/Instructor: rà soát tiêu chí PASS/FAIL và kết luận.</t>
  </si>
  <si>
    <t>SUT (System Under Test): GymManagement WinForms (local build)
DB: SQL Server (local) - Instance: LAPTOP-5P15D2CV\MSSQLSERVER01; Database: GymManagement
Công cụ theo dõi: Task Manager/PerfMon (hoặc tương đương), SSMS/Query DB, Log metrics
File lưu kết quả: Metrics Log, Summary, Chart (trong workbook).</t>
  </si>
  <si>
    <t>Trần Trọng Hiếu</t>
  </si>
  <si>
    <t>- Chuẩn bị môi trường &amp; dữ liệu: 31/1/2026 - 1/2/2026
- Thực thi soak test: 1 phiên chạy (1/2/2026)
- Tổng hợp &amp; báo cáo:  Ngày 2 tháng 2 năm 2026</t>
  </si>
  <si>
    <t>Test ID: ='Metrics Log'!H2 | Thời lượng: 90 phút | Sampling: 300 giây/mốc | Ngày lập: 31/01/2026</t>
  </si>
  <si>
    <t>BUG-TC-SOAK-01</t>
  </si>
  <si>
    <t>Soak Testing (chạy dài) – Memory leak/Connection leak | Test ID: TC-SOAK-01 | Ngày lập: 1/02/2026</t>
  </si>
  <si>
    <t>Tăng Ram bất thường và không trả lại Ram cho hệ thống</t>
  </si>
  <si>
    <t>CÁC TRƯỜNG HỢP KIỂM THỬ (TEST CASE) – SOAK TEST (1 SCENARIO-BASED)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</si>
</sst>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yyyy\-mm\-dd"/>
    <numFmt numFmtId="165" formatCode="yyyy\-mm\-dd\ hh:mm:ss"/>
    <numFmt numFmtId="166" formatCode="0.0"/>
    <numFmt numFmtId="167" formatCode="yyyy\-mm\-dd\ h:mm:ss"/>
  </numFmts>
  <fonts count="20" x14ac:knownFonts="1">
    <font>
      <sz val="11"/>
      <color theme="1"/>
      <name val="Calibri"/>
      <family val="2"/>
      <scheme val="minor"/>
    </font>
    <font>
      <b/>
      <sz val="18"/>
      <color rgb="FFFFFFFF"/>
      <name val="Calibri"/>
      <family val="2"/>
      <charset val="163"/>
    </font>
    <font>
      <b/>
      <sz val="10"/>
      <color rgb="FF1F2937"/>
      <name val="Calibri"/>
      <family val="2"/>
      <charset val="163"/>
    </font>
    <font>
      <sz val="10"/>
      <color rgb="FF0000FF"/>
      <name val="Calibri"/>
      <family val="2"/>
      <charset val="163"/>
    </font>
    <font>
      <b/>
      <sz val="12"/>
      <color rgb="FFFFFFFF"/>
      <name val="Calibri"/>
      <family val="2"/>
      <charset val="163"/>
    </font>
    <font>
      <b/>
      <sz val="11"/>
      <color rgb="FFFFFFFF"/>
      <name val="Calibri"/>
      <family val="2"/>
      <charset val="163"/>
    </font>
    <font>
      <b/>
      <sz val="10"/>
      <color rgb="FF111827"/>
      <name val="Calibri"/>
      <family val="2"/>
      <charset val="163"/>
    </font>
    <font>
      <sz val="10"/>
      <color rgb="FF111827"/>
      <name val="Calibri"/>
      <family val="2"/>
      <charset val="163"/>
    </font>
    <font>
      <sz val="11"/>
      <name val="Calibri"/>
      <family val="2"/>
      <charset val="163"/>
    </font>
    <font>
      <b/>
      <sz val="12"/>
      <color rgb="FFFFFFFF"/>
      <name val="Calibri"/>
      <family val="2"/>
      <charset val="163"/>
    </font>
    <font>
      <sz val="10"/>
      <color rgb="FF111827"/>
      <name val="Calibri"/>
      <family val="2"/>
    </font>
    <font>
      <b/>
      <sz val="11"/>
      <name val="Calibri"/>
      <family val="2"/>
      <charset val="163"/>
    </font>
    <font>
      <b/>
      <sz val="11"/>
      <color rgb="FFFFFFFF"/>
      <name val="Calibri"/>
      <family val="2"/>
    </font>
    <font>
      <b/>
      <sz val="15"/>
      <name val="Calibri"/>
      <family val="2"/>
      <charset val="163"/>
    </font>
    <font>
      <b/>
      <sz val="14"/>
      <name val="Times New Roman"/>
      <family val="1"/>
      <charset val="163"/>
    </font>
    <font>
      <sz val="11"/>
      <color theme="1"/>
      <name val="Times New Roman"/>
      <family val="1"/>
      <charset val="163"/>
    </font>
    <font>
      <b/>
      <sz val="11"/>
      <color rgb="FFFFFFFF"/>
      <name val="Times New Roman"/>
      <family val="1"/>
      <charset val="163"/>
    </font>
    <font>
      <b/>
      <sz val="12"/>
      <color rgb="FFFFFFFF"/>
      <name val="Times New Roman"/>
      <family val="1"/>
      <charset val="163"/>
    </font>
    <font>
      <b/>
      <sz val="11"/>
      <name val="Times New Roman"/>
      <family val="1"/>
      <charset val="163"/>
    </font>
    <font>
      <b/>
      <sz val="15"/>
      <name val="Times New Roman"/>
      <family val="1"/>
      <charset val="163"/>
    </font>
  </fonts>
  <fills count="16">
    <fill>
      <patternFill patternType="none"/>
    </fill>
    <fill>
      <patternFill patternType="gray125"/>
    </fill>
    <fill>
      <patternFill patternType="solid">
        <fgColor rgb="FF111827"/>
      </patternFill>
    </fill>
    <fill>
      <patternFill patternType="solid">
        <fgColor rgb="FFEFF6FF"/>
      </patternFill>
    </fill>
    <fill>
      <patternFill patternType="solid">
        <fgColor rgb="FF0F766E"/>
      </patternFill>
    </fill>
    <fill>
      <patternFill patternType="solid">
        <fgColor rgb="FFF3F4F6"/>
      </patternFill>
    </fill>
    <fill>
      <patternFill patternType="solid">
        <fgColor rgb="FF1F2937"/>
      </patternFill>
    </fill>
    <fill>
      <patternFill patternType="solid">
        <fgColor rgb="FFFFFFFF"/>
      </patternFill>
    </fill>
    <fill>
      <patternFill patternType="solid">
        <fgColor rgb="FFFFFBEB"/>
      </patternFill>
    </fill>
    <fill>
      <patternFill patternType="solid">
        <fgColor rgb="FFFFFBEB"/>
      </patternFill>
    </fill>
    <fill>
      <patternFill patternType="solid">
        <fgColor rgb="FF0F766E"/>
      </patternFill>
    </fill>
    <fill>
      <patternFill patternType="solid">
        <fgColor theme="4" tint="0.59996337778862885"/>
        <bgColor indexed="65"/>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1F4E79"/>
      </patternFill>
    </fill>
    <fill>
      <patternFill patternType="solid">
        <fgColor rgb="FFD9E1F2"/>
      </patternFill>
    </fill>
  </fills>
  <borders count="16">
    <border>
      <left/>
      <right/>
      <top/>
      <bottom/>
      <diagonal/>
    </border>
    <border>
      <left style="thin">
        <color rgb="FFD1D5DB"/>
      </left>
      <right style="thin">
        <color rgb="FFD1D5DB"/>
      </right>
      <top style="thin">
        <color rgb="FFD1D5DB"/>
      </top>
      <bottom style="thin">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right/>
      <top/>
      <bottom/>
      <diagonal/>
    </border>
    <border>
      <left/>
      <right/>
      <top style="thin">
        <color rgb="FFD1D5DB"/>
      </top>
      <bottom/>
      <diagonal/>
    </border>
    <border>
      <left/>
      <right style="thin">
        <color rgb="FFD1D5DB"/>
      </right>
      <top style="thin">
        <color rgb="FFD1D5DB"/>
      </top>
      <bottom/>
      <diagonal/>
    </border>
    <border>
      <left style="thin">
        <color rgb="FFD1D5DB"/>
      </left>
      <right/>
      <top/>
      <bottom/>
      <diagonal/>
    </border>
    <border>
      <left/>
      <right style="thin">
        <color rgb="FFD1D5DB"/>
      </right>
      <top/>
      <bottom/>
      <diagonal/>
    </border>
    <border>
      <left style="thin">
        <color rgb="FFD1D5DB"/>
      </left>
      <right/>
      <top/>
      <bottom style="thin">
        <color rgb="FFD1D5DB"/>
      </bottom>
      <diagonal/>
    </border>
    <border>
      <left/>
      <right/>
      <top/>
      <bottom style="thin">
        <color rgb="FFD1D5DB"/>
      </bottom>
      <diagonal/>
    </border>
    <border>
      <left/>
      <right style="thin">
        <color rgb="FFD1D5DB"/>
      </right>
      <top/>
      <bottom style="thin">
        <color rgb="FFD1D5DB"/>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5"/>
  </cellStyleXfs>
  <cellXfs count="80">
    <xf numFmtId="0" fontId="0" fillId="0" borderId="0" xfId="0" applyBorder="1"/>
    <xf numFmtId="0" fontId="2" fillId="0" borderId="0" xfId="0" applyFont="1" applyBorder="1"/>
    <xf numFmtId="0" fontId="3" fillId="3" borderId="0" xfId="0" applyFont="1" applyFill="1" applyBorder="1" applyAlignment="1">
      <alignment horizontal="left" vertical="center" wrapText="1"/>
    </xf>
    <xf numFmtId="164" fontId="3" fillId="3" borderId="0" xfId="0" applyNumberFormat="1" applyFont="1" applyFill="1" applyBorder="1" applyAlignment="1">
      <alignment horizontal="left" vertical="center" wrapText="1"/>
    </xf>
    <xf numFmtId="0" fontId="2" fillId="5" borderId="1" xfId="0" applyFont="1" applyFill="1" applyBorder="1" applyAlignment="1">
      <alignment horizontal="left" vertical="center" wrapText="1"/>
    </xf>
    <xf numFmtId="0" fontId="0" fillId="0" borderId="1" xfId="0" applyBorder="1"/>
    <xf numFmtId="0" fontId="6" fillId="7"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3" fillId="3" borderId="1" xfId="0" applyFont="1" applyFill="1" applyBorder="1"/>
    <xf numFmtId="0" fontId="2" fillId="5" borderId="1" xfId="0" applyFont="1" applyFill="1" applyBorder="1"/>
    <xf numFmtId="1" fontId="3" fillId="3" borderId="1" xfId="0" applyNumberFormat="1" applyFont="1" applyFill="1" applyBorder="1"/>
    <xf numFmtId="0" fontId="7" fillId="7" borderId="1" xfId="0" applyFont="1" applyFill="1" applyBorder="1"/>
    <xf numFmtId="165" fontId="7" fillId="0" borderId="1" xfId="0" applyNumberFormat="1" applyFont="1" applyBorder="1" applyAlignment="1">
      <alignment horizontal="left" vertical="center" wrapText="1"/>
    </xf>
    <xf numFmtId="166" fontId="7" fillId="0" borderId="1" xfId="0" applyNumberFormat="1" applyFont="1" applyBorder="1" applyAlignment="1">
      <alignment horizontal="center" vertical="center" wrapText="1"/>
    </xf>
    <xf numFmtId="1"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top" wrapText="1"/>
    </xf>
    <xf numFmtId="166" fontId="7" fillId="0" borderId="1" xfId="0" applyNumberFormat="1" applyFont="1" applyBorder="1" applyAlignment="1">
      <alignment horizontal="left" vertical="center" wrapText="1"/>
    </xf>
    <xf numFmtId="0" fontId="2" fillId="7" borderId="1" xfId="0" applyFont="1" applyFill="1" applyBorder="1" applyAlignment="1">
      <alignment horizontal="left" vertical="center" wrapText="1"/>
    </xf>
    <xf numFmtId="0" fontId="7" fillId="8" borderId="1" xfId="0" applyFont="1" applyFill="1" applyBorder="1" applyAlignment="1">
      <alignment horizontal="left" vertical="top" wrapText="1"/>
    </xf>
    <xf numFmtId="0" fontId="8" fillId="0" borderId="5" xfId="0" applyFont="1"/>
    <xf numFmtId="165" fontId="10" fillId="11" borderId="4" xfId="0" applyNumberFormat="1" applyFont="1" applyFill="1" applyBorder="1" applyAlignment="1">
      <alignment horizontal="left" vertical="center" wrapText="1"/>
    </xf>
    <xf numFmtId="0" fontId="5" fillId="6"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167" fontId="7" fillId="0" borderId="1" xfId="0" applyNumberFormat="1" applyFont="1" applyBorder="1" applyAlignment="1">
      <alignment horizontal="left" vertical="center" wrapText="1"/>
    </xf>
    <xf numFmtId="0" fontId="11" fillId="5" borderId="1" xfId="0" applyFont="1" applyFill="1" applyBorder="1" applyAlignment="1">
      <alignment horizontal="left" vertical="center" wrapText="1"/>
    </xf>
    <xf numFmtId="0" fontId="11" fillId="0" borderId="1" xfId="0" applyFont="1" applyBorder="1" applyAlignment="1">
      <alignment horizontal="center"/>
    </xf>
    <xf numFmtId="0" fontId="11" fillId="0" borderId="0" xfId="0" applyFont="1" applyBorder="1" applyAlignment="1">
      <alignment horizontal="center"/>
    </xf>
    <xf numFmtId="0" fontId="0" fillId="0" borderId="0" xfId="0" applyBorder="1"/>
    <xf numFmtId="0" fontId="12" fillId="6" borderId="4" xfId="0" applyFont="1" applyFill="1" applyBorder="1" applyAlignment="1">
      <alignment horizontal="center" vertical="center" wrapText="1"/>
    </xf>
    <xf numFmtId="165" fontId="10" fillId="12" borderId="4" xfId="0" applyNumberFormat="1" applyFont="1" applyFill="1" applyBorder="1" applyAlignment="1">
      <alignment horizontal="left" vertical="center" wrapText="1"/>
    </xf>
    <xf numFmtId="166" fontId="10" fillId="12" borderId="4" xfId="0" applyNumberFormat="1" applyFont="1" applyFill="1" applyBorder="1" applyAlignment="1">
      <alignment horizontal="center" vertical="center" wrapText="1"/>
    </xf>
    <xf numFmtId="1" fontId="10" fillId="12" borderId="4" xfId="0" applyNumberFormat="1" applyFont="1" applyFill="1" applyBorder="1" applyAlignment="1">
      <alignment horizontal="center" vertical="center" wrapText="1"/>
    </xf>
    <xf numFmtId="165" fontId="10" fillId="13" borderId="4" xfId="0" applyNumberFormat="1" applyFont="1" applyFill="1" applyBorder="1" applyAlignment="1">
      <alignment horizontal="left" vertical="center" wrapText="1"/>
    </xf>
    <xf numFmtId="166" fontId="10" fillId="13" borderId="4" xfId="0" applyNumberFormat="1" applyFont="1" applyFill="1" applyBorder="1" applyAlignment="1">
      <alignment horizontal="center" vertical="center" wrapText="1"/>
    </xf>
    <xf numFmtId="1" fontId="10" fillId="13" borderId="4" xfId="0" applyNumberFormat="1" applyFont="1" applyFill="1" applyBorder="1" applyAlignment="1">
      <alignment horizontal="center" vertical="center" wrapText="1"/>
    </xf>
    <xf numFmtId="0" fontId="13" fillId="0" borderId="0" xfId="0" applyFont="1" applyBorder="1" applyAlignment="1">
      <alignment horizontal="center" vertical="center" wrapText="1"/>
    </xf>
    <xf numFmtId="0" fontId="0" fillId="0" borderId="0" xfId="0" applyBorder="1"/>
    <xf numFmtId="0" fontId="0" fillId="0" borderId="0" xfId="0" applyBorder="1" applyAlignment="1">
      <alignment vertical="top" wrapText="1"/>
    </xf>
    <xf numFmtId="0" fontId="0" fillId="0" borderId="0" xfId="0" applyBorder="1" applyAlignment="1">
      <alignment horizontal="center" vertical="center" wrapText="1"/>
    </xf>
    <xf numFmtId="0" fontId="1" fillId="2" borderId="5" xfId="0" applyFont="1" applyFill="1" applyAlignment="1">
      <alignment horizontal="center" vertical="center" wrapText="1"/>
    </xf>
    <xf numFmtId="0" fontId="3" fillId="3" borderId="4" xfId="0" applyFont="1" applyFill="1" applyBorder="1" applyAlignment="1">
      <alignment horizontal="left" vertical="top" wrapText="1"/>
    </xf>
    <xf numFmtId="0" fontId="0" fillId="0" borderId="2" xfId="0" applyBorder="1"/>
    <xf numFmtId="0" fontId="0" fillId="0" borderId="3" xfId="0" applyBorder="1"/>
    <xf numFmtId="0" fontId="5" fillId="6" borderId="4" xfId="0" applyFont="1" applyFill="1" applyBorder="1" applyAlignment="1">
      <alignment horizontal="center" vertical="center" wrapText="1"/>
    </xf>
    <xf numFmtId="0" fontId="7" fillId="7" borderId="4" xfId="0" applyFont="1" applyFill="1" applyBorder="1" applyAlignment="1">
      <alignment horizontal="left" vertical="top" wrapText="1"/>
    </xf>
    <xf numFmtId="0" fontId="4" fillId="4" borderId="5" xfId="0" applyFont="1" applyFill="1" applyAlignment="1">
      <alignment horizontal="left" vertical="center" wrapText="1"/>
    </xf>
    <xf numFmtId="0" fontId="7" fillId="9" borderId="4" xfId="0" applyFont="1" applyFill="1" applyBorder="1" applyAlignment="1">
      <alignment horizontal="left" vertical="top"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9" fillId="10" borderId="4" xfId="0" applyFont="1" applyFill="1" applyBorder="1" applyAlignment="1">
      <alignment horizontal="left" vertical="center" wrapText="1"/>
    </xf>
    <xf numFmtId="1" fontId="3" fillId="3" borderId="4" xfId="0" applyNumberFormat="1" applyFont="1" applyFill="1" applyBorder="1" applyAlignment="1">
      <alignment horizontal="left" vertical="top" wrapText="1"/>
    </xf>
    <xf numFmtId="164" fontId="3" fillId="3" borderId="4" xfId="0" applyNumberFormat="1" applyFont="1" applyFill="1" applyBorder="1" applyAlignment="1">
      <alignment horizontal="left" vertical="top" wrapText="1"/>
    </xf>
    <xf numFmtId="0" fontId="1" fillId="2" borderId="5" xfId="0" applyFont="1" applyFill="1" applyAlignment="1">
      <alignment horizontal="left" vertical="center" wrapText="1"/>
    </xf>
    <xf numFmtId="0" fontId="14" fillId="0" borderId="0" xfId="0" applyFont="1" applyBorder="1" applyAlignment="1">
      <alignment horizontal="center" vertical="center" wrapText="1"/>
    </xf>
    <xf numFmtId="0" fontId="15" fillId="0" borderId="0" xfId="0" applyFont="1" applyBorder="1"/>
    <xf numFmtId="0" fontId="15" fillId="0" borderId="0" xfId="0" applyFont="1" applyBorder="1"/>
    <xf numFmtId="0" fontId="16" fillId="14" borderId="13" xfId="0" applyFont="1" applyFill="1" applyBorder="1" applyAlignment="1">
      <alignment horizontal="center" vertical="center" wrapText="1"/>
    </xf>
    <xf numFmtId="0" fontId="15" fillId="0" borderId="13" xfId="0" applyFont="1" applyBorder="1" applyAlignment="1">
      <alignment vertical="top" wrapText="1"/>
    </xf>
    <xf numFmtId="0" fontId="15" fillId="0" borderId="13" xfId="0" quotePrefix="1" applyFont="1" applyBorder="1" applyAlignment="1">
      <alignment vertical="top" wrapText="1"/>
    </xf>
    <xf numFmtId="0" fontId="17" fillId="14" borderId="13" xfId="0" applyFont="1" applyFill="1" applyBorder="1" applyAlignment="1">
      <alignment horizontal="left" vertical="center"/>
    </xf>
    <xf numFmtId="0" fontId="15" fillId="0" borderId="14" xfId="0" applyFont="1" applyBorder="1"/>
    <xf numFmtId="0" fontId="15" fillId="0" borderId="15" xfId="0" applyFont="1" applyBorder="1"/>
    <xf numFmtId="0" fontId="18" fillId="15" borderId="13" xfId="0" applyFont="1" applyFill="1" applyBorder="1" applyAlignment="1">
      <alignment horizontal="left" vertical="top" wrapText="1"/>
    </xf>
    <xf numFmtId="0" fontId="15" fillId="0" borderId="13" xfId="0" applyFont="1" applyBorder="1" applyAlignment="1">
      <alignment vertical="top" wrapText="1"/>
    </xf>
    <xf numFmtId="0" fontId="15" fillId="0" borderId="13" xfId="0" quotePrefix="1" applyFont="1" applyBorder="1" applyAlignment="1">
      <alignment vertical="top" wrapText="1"/>
    </xf>
    <xf numFmtId="0" fontId="18" fillId="15" borderId="13" xfId="0" applyFont="1" applyFill="1" applyBorder="1" applyAlignment="1">
      <alignment horizontal="left" vertical="top" wrapText="1"/>
    </xf>
    <xf numFmtId="0" fontId="17" fillId="14" borderId="13" xfId="0" applyFont="1" applyFill="1" applyBorder="1" applyAlignment="1">
      <alignment horizontal="center" vertical="center" wrapText="1"/>
    </xf>
    <xf numFmtId="0" fontId="19" fillId="0" borderId="0" xfId="0" applyFont="1" applyBorder="1" applyAlignment="1">
      <alignment horizontal="center" vertical="center" wrapText="1"/>
    </xf>
    <xf numFmtId="0" fontId="15" fillId="0" borderId="0" xfId="0" applyFont="1" applyBorder="1" applyAlignment="1">
      <alignment horizontal="center" vertical="center" wrapText="1"/>
    </xf>
    <xf numFmtId="0" fontId="17" fillId="14" borderId="13" xfId="0" applyFont="1" applyFill="1" applyBorder="1" applyAlignment="1">
      <alignment horizontal="left" vertical="top" wrapText="1"/>
    </xf>
    <xf numFmtId="0" fontId="15" fillId="0" borderId="13" xfId="0" applyFont="1" applyBorder="1"/>
    <xf numFmtId="0" fontId="15" fillId="0" borderId="13" xfId="0" applyFont="1" applyBorder="1" applyAlignment="1">
      <alignment horizontal="left" vertical="top" wrapText="1"/>
    </xf>
    <xf numFmtId="0" fontId="15" fillId="0" borderId="13" xfId="0" applyFont="1" applyBorder="1" applyAlignment="1">
      <alignment horizontal="center" vertical="center" wrapText="1"/>
    </xf>
    <xf numFmtId="0" fontId="14" fillId="0" borderId="0" xfId="0" applyFont="1" applyBorder="1"/>
  </cellXfs>
  <cellStyles count="1">
    <cellStyle name="Normal" xfId="0" builtinId="0"/>
  </cellStyles>
  <dxfs count="3">
    <dxf>
      <fill>
        <patternFill>
          <bgColor rgb="FFFEE2E2"/>
        </patternFill>
      </fill>
    </dxf>
    <dxf>
      <fill>
        <patternFill>
          <bgColor rgb="FFFEE2E2"/>
        </patternFill>
      </fill>
    </dxf>
    <dxf>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Chart!$C$1</c:f>
              <c:strCache>
                <c:ptCount val="1"/>
                <c:pt idx="0">
                  <c:v>RAM (MB)</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Chart!$B$2:$B$20</c:f>
              <c:numCache>
                <c:formatCode>0.0</c:formatCode>
                <c:ptCount val="19"/>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numCache>
            </c:numRef>
          </c:xVal>
          <c:yVal>
            <c:numRef>
              <c:f>Chart!$C$2:$C$20</c:f>
              <c:numCache>
                <c:formatCode>0</c:formatCode>
                <c:ptCount val="19"/>
                <c:pt idx="0">
                  <c:v>3.8</c:v>
                </c:pt>
                <c:pt idx="1">
                  <c:v>6.3159999999999998</c:v>
                </c:pt>
                <c:pt idx="2">
                  <c:v>9.42</c:v>
                </c:pt>
                <c:pt idx="3">
                  <c:v>11.42</c:v>
                </c:pt>
                <c:pt idx="4">
                  <c:v>12.183999999999999</c:v>
                </c:pt>
                <c:pt idx="5">
                  <c:v>12.5</c:v>
                </c:pt>
                <c:pt idx="6">
                  <c:v>12.496</c:v>
                </c:pt>
                <c:pt idx="7">
                  <c:v>12.72</c:v>
                </c:pt>
                <c:pt idx="8">
                  <c:v>13</c:v>
                </c:pt>
                <c:pt idx="9">
                  <c:v>13.04</c:v>
                </c:pt>
                <c:pt idx="10">
                  <c:v>12.5</c:v>
                </c:pt>
                <c:pt idx="11">
                  <c:v>12.472</c:v>
                </c:pt>
                <c:pt idx="12">
                  <c:v>12.512</c:v>
                </c:pt>
                <c:pt idx="13">
                  <c:v>12.555999999999999</c:v>
                </c:pt>
                <c:pt idx="14">
                  <c:v>12.532</c:v>
                </c:pt>
                <c:pt idx="15">
                  <c:v>12.536</c:v>
                </c:pt>
                <c:pt idx="16">
                  <c:v>12.587999999999999</c:v>
                </c:pt>
                <c:pt idx="17">
                  <c:v>12.552</c:v>
                </c:pt>
                <c:pt idx="18">
                  <c:v>812.15599999999995</c:v>
                </c:pt>
              </c:numCache>
            </c:numRef>
          </c:yVal>
          <c:smooth val="0"/>
        </c:ser>
        <c:dLbls>
          <c:showLegendKey val="0"/>
          <c:showVal val="0"/>
          <c:showCatName val="0"/>
          <c:showSerName val="0"/>
          <c:showPercent val="0"/>
          <c:showBubbleSize val="0"/>
        </c:dLbls>
        <c:axId val="372167248"/>
        <c:axId val="372162352"/>
      </c:scatterChart>
      <c:valAx>
        <c:axId val="37216724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62352"/>
        <c:crosses val="autoZero"/>
        <c:crossBetween val="midCat"/>
      </c:valAx>
      <c:valAx>
        <c:axId val="3721623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672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Chart!$D$1</c:f>
              <c:strCache>
                <c:ptCount val="1"/>
                <c:pt idx="0">
                  <c:v>CPU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Chart!$B$2:$B$20</c:f>
              <c:numCache>
                <c:formatCode>0.0</c:formatCode>
                <c:ptCount val="19"/>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numCache>
            </c:numRef>
          </c:xVal>
          <c:yVal>
            <c:numRef>
              <c:f>Chart!$D$2:$D$20</c:f>
              <c:numCache>
                <c:formatCode>0.0</c:formatCode>
                <c:ptCount val="19"/>
                <c:pt idx="0">
                  <c:v>1.8</c:v>
                </c:pt>
                <c:pt idx="1">
                  <c:v>0.2</c:v>
                </c:pt>
                <c:pt idx="2">
                  <c:v>2.2999999999999998</c:v>
                </c:pt>
                <c:pt idx="3">
                  <c:v>2.2999999999999998</c:v>
                </c:pt>
                <c:pt idx="4">
                  <c:v>3</c:v>
                </c:pt>
                <c:pt idx="5">
                  <c:v>3.2</c:v>
                </c:pt>
                <c:pt idx="6">
                  <c:v>3</c:v>
                </c:pt>
                <c:pt idx="7">
                  <c:v>2.8</c:v>
                </c:pt>
                <c:pt idx="8">
                  <c:v>0</c:v>
                </c:pt>
                <c:pt idx="9">
                  <c:v>0</c:v>
                </c:pt>
                <c:pt idx="10">
                  <c:v>1.9</c:v>
                </c:pt>
                <c:pt idx="11">
                  <c:v>0.6</c:v>
                </c:pt>
                <c:pt idx="12">
                  <c:v>0</c:v>
                </c:pt>
                <c:pt idx="13">
                  <c:v>0</c:v>
                </c:pt>
                <c:pt idx="14">
                  <c:v>0.9</c:v>
                </c:pt>
                <c:pt idx="15">
                  <c:v>1.1000000000000001</c:v>
                </c:pt>
                <c:pt idx="16">
                  <c:v>0</c:v>
                </c:pt>
                <c:pt idx="17">
                  <c:v>0</c:v>
                </c:pt>
                <c:pt idx="18">
                  <c:v>7.4</c:v>
                </c:pt>
              </c:numCache>
            </c:numRef>
          </c:yVal>
          <c:smooth val="0"/>
        </c:ser>
        <c:dLbls>
          <c:showLegendKey val="0"/>
          <c:showVal val="0"/>
          <c:showCatName val="0"/>
          <c:showSerName val="0"/>
          <c:showPercent val="0"/>
          <c:showBubbleSize val="0"/>
        </c:dLbls>
        <c:axId val="372164528"/>
        <c:axId val="372152560"/>
      </c:scatterChart>
      <c:valAx>
        <c:axId val="37216452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52560"/>
        <c:crosses val="autoZero"/>
        <c:crossBetween val="midCat"/>
      </c:valAx>
      <c:valAx>
        <c:axId val="3721525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64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Chart!$E$1</c:f>
              <c:strCache>
                <c:ptCount val="1"/>
                <c:pt idx="0">
                  <c:v>Handles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Chart!$B$2:$B$20</c:f>
              <c:numCache>
                <c:formatCode>0.0</c:formatCode>
                <c:ptCount val="19"/>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numCache>
            </c:numRef>
          </c:xVal>
          <c:yVal>
            <c:numRef>
              <c:f>Chart!$E$2:$E$20</c:f>
              <c:numCache>
                <c:formatCode>0</c:formatCode>
                <c:ptCount val="19"/>
                <c:pt idx="0">
                  <c:v>297</c:v>
                </c:pt>
                <c:pt idx="1">
                  <c:v>422</c:v>
                </c:pt>
                <c:pt idx="2">
                  <c:v>464</c:v>
                </c:pt>
                <c:pt idx="3">
                  <c:v>481</c:v>
                </c:pt>
                <c:pt idx="4">
                  <c:v>470</c:v>
                </c:pt>
                <c:pt idx="5">
                  <c:v>495</c:v>
                </c:pt>
                <c:pt idx="6">
                  <c:v>475</c:v>
                </c:pt>
                <c:pt idx="7">
                  <c:v>475</c:v>
                </c:pt>
                <c:pt idx="8">
                  <c:v>500</c:v>
                </c:pt>
                <c:pt idx="9">
                  <c:v>547</c:v>
                </c:pt>
                <c:pt idx="10">
                  <c:v>598</c:v>
                </c:pt>
                <c:pt idx="11">
                  <c:v>648</c:v>
                </c:pt>
                <c:pt idx="12">
                  <c:v>695</c:v>
                </c:pt>
                <c:pt idx="13">
                  <c:v>487</c:v>
                </c:pt>
                <c:pt idx="14">
                  <c:v>483</c:v>
                </c:pt>
                <c:pt idx="15">
                  <c:v>483</c:v>
                </c:pt>
                <c:pt idx="16">
                  <c:v>536</c:v>
                </c:pt>
                <c:pt idx="17">
                  <c:v>575</c:v>
                </c:pt>
                <c:pt idx="18">
                  <c:v>625</c:v>
                </c:pt>
              </c:numCache>
            </c:numRef>
          </c:yVal>
          <c:smooth val="0"/>
        </c:ser>
        <c:dLbls>
          <c:showLegendKey val="0"/>
          <c:showVal val="0"/>
          <c:showCatName val="0"/>
          <c:showSerName val="0"/>
          <c:showPercent val="0"/>
          <c:showBubbleSize val="0"/>
        </c:dLbls>
        <c:axId val="372156368"/>
        <c:axId val="372159088"/>
      </c:scatterChart>
      <c:valAx>
        <c:axId val="372156368"/>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59088"/>
        <c:crosses val="autoZero"/>
        <c:crossBetween val="midCat"/>
      </c:valAx>
      <c:valAx>
        <c:axId val="372159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156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Chart!$F$1</c:f>
              <c:strCache>
                <c:ptCount val="1"/>
                <c:pt idx="0">
                  <c:v>Threads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Chart!$B$2:$B$20</c:f>
              <c:numCache>
                <c:formatCode>0.0</c:formatCode>
                <c:ptCount val="19"/>
                <c:pt idx="0">
                  <c:v>0</c:v>
                </c:pt>
                <c:pt idx="1">
                  <c:v>5</c:v>
                </c:pt>
                <c:pt idx="2">
                  <c:v>10</c:v>
                </c:pt>
                <c:pt idx="3">
                  <c:v>15</c:v>
                </c:pt>
                <c:pt idx="4">
                  <c:v>20</c:v>
                </c:pt>
                <c:pt idx="5">
                  <c:v>25</c:v>
                </c:pt>
                <c:pt idx="6">
                  <c:v>30</c:v>
                </c:pt>
                <c:pt idx="7">
                  <c:v>35</c:v>
                </c:pt>
                <c:pt idx="8">
                  <c:v>40</c:v>
                </c:pt>
                <c:pt idx="9">
                  <c:v>45</c:v>
                </c:pt>
                <c:pt idx="10">
                  <c:v>50</c:v>
                </c:pt>
                <c:pt idx="11">
                  <c:v>55</c:v>
                </c:pt>
                <c:pt idx="12">
                  <c:v>60</c:v>
                </c:pt>
                <c:pt idx="13">
                  <c:v>65</c:v>
                </c:pt>
                <c:pt idx="14">
                  <c:v>70</c:v>
                </c:pt>
                <c:pt idx="15">
                  <c:v>75</c:v>
                </c:pt>
                <c:pt idx="16">
                  <c:v>80</c:v>
                </c:pt>
                <c:pt idx="17">
                  <c:v>85</c:v>
                </c:pt>
                <c:pt idx="18">
                  <c:v>90</c:v>
                </c:pt>
              </c:numCache>
            </c:numRef>
          </c:xVal>
          <c:yVal>
            <c:numRef>
              <c:f>Chart!$F$2:$F$20</c:f>
              <c:numCache>
                <c:formatCode>0</c:formatCode>
                <c:ptCount val="19"/>
                <c:pt idx="0">
                  <c:v>4</c:v>
                </c:pt>
                <c:pt idx="1">
                  <c:v>12</c:v>
                </c:pt>
                <c:pt idx="2">
                  <c:v>7</c:v>
                </c:pt>
                <c:pt idx="3">
                  <c:v>11</c:v>
                </c:pt>
                <c:pt idx="4">
                  <c:v>7</c:v>
                </c:pt>
                <c:pt idx="5">
                  <c:v>9</c:v>
                </c:pt>
                <c:pt idx="6">
                  <c:v>6</c:v>
                </c:pt>
                <c:pt idx="7">
                  <c:v>7</c:v>
                </c:pt>
                <c:pt idx="8">
                  <c:v>6</c:v>
                </c:pt>
                <c:pt idx="9">
                  <c:v>7</c:v>
                </c:pt>
                <c:pt idx="10">
                  <c:v>6</c:v>
                </c:pt>
                <c:pt idx="11">
                  <c:v>7</c:v>
                </c:pt>
                <c:pt idx="12">
                  <c:v>7</c:v>
                </c:pt>
                <c:pt idx="13">
                  <c:v>7</c:v>
                </c:pt>
                <c:pt idx="14">
                  <c:v>7</c:v>
                </c:pt>
                <c:pt idx="15">
                  <c:v>7</c:v>
                </c:pt>
                <c:pt idx="16">
                  <c:v>7</c:v>
                </c:pt>
                <c:pt idx="17">
                  <c:v>6</c:v>
                </c:pt>
                <c:pt idx="18">
                  <c:v>7</c:v>
                </c:pt>
              </c:numCache>
            </c:numRef>
          </c:yVal>
          <c:smooth val="0"/>
        </c:ser>
        <c:dLbls>
          <c:showLegendKey val="0"/>
          <c:showVal val="0"/>
          <c:showCatName val="0"/>
          <c:showSerName val="0"/>
          <c:showPercent val="0"/>
          <c:showBubbleSize val="0"/>
        </c:dLbls>
        <c:axId val="309468096"/>
        <c:axId val="309465376"/>
      </c:scatterChart>
      <c:valAx>
        <c:axId val="30946809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65376"/>
        <c:crosses val="autoZero"/>
        <c:crossBetween val="midCat"/>
      </c:valAx>
      <c:valAx>
        <c:axId val="309465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680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133350</xdr:colOff>
      <xdr:row>0</xdr:row>
      <xdr:rowOff>109537</xdr:rowOff>
    </xdr:from>
    <xdr:to>
      <xdr:col>16</xdr:col>
      <xdr:colOff>438150</xdr:colOff>
      <xdr:row>13</xdr:row>
      <xdr:rowOff>185737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142875</xdr:colOff>
      <xdr:row>14</xdr:row>
      <xdr:rowOff>147637</xdr:rowOff>
    </xdr:from>
    <xdr:to>
      <xdr:col>16</xdr:col>
      <xdr:colOff>447675</xdr:colOff>
      <xdr:row>29</xdr:row>
      <xdr:rowOff>33337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323850</xdr:colOff>
      <xdr:row>23</xdr:row>
      <xdr:rowOff>52387</xdr:rowOff>
    </xdr:from>
    <xdr:to>
      <xdr:col>6</xdr:col>
      <xdr:colOff>152400</xdr:colOff>
      <xdr:row>37</xdr:row>
      <xdr:rowOff>128587</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123825</xdr:colOff>
      <xdr:row>30</xdr:row>
      <xdr:rowOff>80962</xdr:rowOff>
    </xdr:from>
    <xdr:to>
      <xdr:col>16</xdr:col>
      <xdr:colOff>428625</xdr:colOff>
      <xdr:row>44</xdr:row>
      <xdr:rowOff>157162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ables/table1.xml><?xml version="1.0" encoding="utf-8"?>
<table xmlns="http://schemas.openxmlformats.org/spreadsheetml/2006/main" id="1" name="MetricsLog" displayName="MetricsLog" ref="A4:M504">
  <autoFilter ref="A4:M504"/>
  <tableColumns count="13">
    <tableColumn id="1" name="Timestamp"/>
    <tableColumn id="2" name="Elapsed (min)"/>
    <tableColumn id="3" name="Iteration"/>
    <tableColumn id="4" name="Operation"/>
    <tableColumn id="6" name="RAM (MB)"/>
    <tableColumn id="7" name="CPU (%)"/>
    <tableColumn id="8" name="Handles"/>
    <tableColumn id="9" name="Threads"/>
    <tableColumn id="10" name="SQL Active Conn"/>
    <tableColumn id="11" name="SQL Sleeping Conn"/>
    <tableColumn id="12" name="Errors"/>
    <tableColumn id="13" name="Error Message"/>
    <tableColumn id="14" name="Notes"/>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zoomScale="80" zoomScaleNormal="80" workbookViewId="0">
      <pane ySplit="3" topLeftCell="A4" activePane="bottomLeft" state="frozen"/>
      <selection pane="bottomLeft" activeCell="C7" sqref="C7:F7"/>
    </sheetView>
  </sheetViews>
  <sheetFormatPr defaultRowHeight="15" x14ac:dyDescent="0.25"/>
  <cols>
    <col min="1" max="1" width="6" style="28" customWidth="1"/>
    <col min="2" max="2" width="34" style="28" customWidth="1"/>
    <col min="3" max="3" width="70" style="28" customWidth="1"/>
    <col min="4" max="4" width="15.28515625" style="28" customWidth="1"/>
    <col min="5" max="6" width="14" style="28" customWidth="1"/>
  </cols>
  <sheetData>
    <row r="1" spans="1:6" ht="27.95" customHeight="1" x14ac:dyDescent="0.25">
      <c r="A1" s="36" t="s">
        <v>0</v>
      </c>
      <c r="B1" s="37"/>
      <c r="C1" s="37"/>
      <c r="D1" s="37"/>
      <c r="E1" s="37"/>
      <c r="F1" s="37"/>
    </row>
    <row r="2" spans="1:6" x14ac:dyDescent="0.25">
      <c r="A2" s="39" t="s">
        <v>291</v>
      </c>
      <c r="B2" s="37"/>
      <c r="C2" s="37"/>
      <c r="D2" s="37"/>
      <c r="E2" s="37"/>
      <c r="F2" s="37"/>
    </row>
    <row r="4" spans="1:6" ht="21.95" customHeight="1" x14ac:dyDescent="0.25">
      <c r="A4" s="65" t="s">
        <v>1</v>
      </c>
      <c r="B4" s="66"/>
      <c r="C4" s="66"/>
      <c r="D4" s="66"/>
      <c r="E4" s="66"/>
      <c r="F4" s="67"/>
    </row>
    <row r="5" spans="1:6" ht="38.1" customHeight="1" x14ac:dyDescent="0.25">
      <c r="A5" s="61"/>
      <c r="B5" s="68" t="s">
        <v>2</v>
      </c>
      <c r="C5" s="69" t="s">
        <v>3</v>
      </c>
      <c r="D5" s="66"/>
      <c r="E5" s="66"/>
      <c r="F5" s="67"/>
    </row>
    <row r="6" spans="1:6" ht="62.25" customHeight="1" x14ac:dyDescent="0.25">
      <c r="A6" s="61"/>
      <c r="B6" s="68" t="s">
        <v>4</v>
      </c>
      <c r="C6" s="70" t="s">
        <v>286</v>
      </c>
      <c r="D6" s="66"/>
      <c r="E6" s="66"/>
      <c r="F6" s="67"/>
    </row>
    <row r="7" spans="1:6" ht="57" customHeight="1" x14ac:dyDescent="0.25">
      <c r="A7" s="61"/>
      <c r="B7" s="68" t="s">
        <v>5</v>
      </c>
      <c r="C7" s="70" t="s">
        <v>290</v>
      </c>
      <c r="D7" s="66"/>
      <c r="E7" s="66"/>
      <c r="F7" s="67"/>
    </row>
    <row r="8" spans="1:6" ht="21.95" customHeight="1" x14ac:dyDescent="0.25">
      <c r="A8" s="65" t="s">
        <v>6</v>
      </c>
      <c r="B8" s="66"/>
      <c r="C8" s="66"/>
      <c r="D8" s="66"/>
      <c r="E8" s="66"/>
      <c r="F8" s="67"/>
    </row>
    <row r="9" spans="1:6" ht="38.1" customHeight="1" x14ac:dyDescent="0.25">
      <c r="A9" s="61"/>
      <c r="B9" s="68" t="s">
        <v>7</v>
      </c>
      <c r="C9" s="69" t="s">
        <v>8</v>
      </c>
      <c r="D9" s="66"/>
      <c r="E9" s="66"/>
      <c r="F9" s="67"/>
    </row>
    <row r="10" spans="1:6" ht="65.25" customHeight="1" x14ac:dyDescent="0.25">
      <c r="A10" s="61"/>
      <c r="B10" s="68" t="s">
        <v>9</v>
      </c>
      <c r="C10" s="69" t="s">
        <v>288</v>
      </c>
      <c r="D10" s="66"/>
      <c r="E10" s="66"/>
      <c r="F10" s="67"/>
    </row>
    <row r="11" spans="1:6" ht="38.1" customHeight="1" x14ac:dyDescent="0.25">
      <c r="A11" s="61"/>
      <c r="B11" s="68" t="s">
        <v>10</v>
      </c>
      <c r="C11" s="69" t="s">
        <v>287</v>
      </c>
      <c r="D11" s="66"/>
      <c r="E11" s="66"/>
      <c r="F11" s="67"/>
    </row>
    <row r="12" spans="1:6" ht="50.25" customHeight="1" x14ac:dyDescent="0.25">
      <c r="A12" s="61"/>
      <c r="B12" s="68" t="s">
        <v>11</v>
      </c>
      <c r="C12" s="69" t="s">
        <v>279</v>
      </c>
      <c r="D12" s="66"/>
      <c r="E12" s="66"/>
      <c r="F12" s="67"/>
    </row>
    <row r="13" spans="1:6" ht="21.95" customHeight="1" x14ac:dyDescent="0.25">
      <c r="A13" s="65" t="s">
        <v>12</v>
      </c>
      <c r="B13" s="66"/>
      <c r="C13" s="66"/>
      <c r="D13" s="66"/>
      <c r="E13" s="66"/>
      <c r="F13" s="67"/>
    </row>
    <row r="14" spans="1:6" ht="38.1" customHeight="1" x14ac:dyDescent="0.25">
      <c r="A14" s="61"/>
      <c r="B14" s="68" t="s">
        <v>13</v>
      </c>
      <c r="C14" s="69" t="s">
        <v>14</v>
      </c>
      <c r="D14" s="66"/>
      <c r="E14" s="66"/>
      <c r="F14" s="67"/>
    </row>
    <row r="15" spans="1:6" ht="75" customHeight="1" x14ac:dyDescent="0.25">
      <c r="A15" s="61"/>
      <c r="B15" s="68" t="s">
        <v>15</v>
      </c>
      <c r="C15" s="70" t="s">
        <v>285</v>
      </c>
      <c r="D15" s="66"/>
      <c r="E15" s="66"/>
      <c r="F15" s="67"/>
    </row>
    <row r="16" spans="1:6" ht="21.95" customHeight="1" x14ac:dyDescent="0.25">
      <c r="A16" s="65" t="s">
        <v>16</v>
      </c>
      <c r="B16" s="66"/>
      <c r="C16" s="66"/>
      <c r="D16" s="66"/>
      <c r="E16" s="66"/>
      <c r="F16" s="67"/>
    </row>
    <row r="17" spans="1:6" ht="63" customHeight="1" x14ac:dyDescent="0.25">
      <c r="A17" s="61"/>
      <c r="B17" s="68" t="s">
        <v>17</v>
      </c>
      <c r="C17" s="70" t="s">
        <v>284</v>
      </c>
      <c r="D17" s="66"/>
      <c r="E17" s="66"/>
      <c r="F17" s="67"/>
    </row>
    <row r="18" spans="1:6" ht="21.95" customHeight="1" x14ac:dyDescent="0.25">
      <c r="A18" s="65" t="s">
        <v>18</v>
      </c>
      <c r="B18" s="66"/>
      <c r="C18" s="66"/>
      <c r="D18" s="66"/>
      <c r="E18" s="66"/>
      <c r="F18" s="67"/>
    </row>
    <row r="19" spans="1:6" ht="67.5" customHeight="1" x14ac:dyDescent="0.25">
      <c r="A19" s="61"/>
      <c r="B19" s="68" t="s">
        <v>19</v>
      </c>
      <c r="C19" s="69" t="s">
        <v>277</v>
      </c>
      <c r="D19" s="66"/>
      <c r="E19" s="66"/>
      <c r="F19" s="67"/>
    </row>
    <row r="20" spans="1:6" ht="21.95" customHeight="1" x14ac:dyDescent="0.25">
      <c r="A20" s="65" t="s">
        <v>20</v>
      </c>
      <c r="B20" s="66"/>
      <c r="C20" s="66"/>
      <c r="D20" s="66"/>
      <c r="E20" s="66"/>
      <c r="F20" s="67"/>
    </row>
    <row r="21" spans="1:6" ht="65.25" customHeight="1" x14ac:dyDescent="0.25">
      <c r="A21" s="61"/>
      <c r="B21" s="68" t="s">
        <v>21</v>
      </c>
      <c r="C21" s="69" t="s">
        <v>278</v>
      </c>
      <c r="D21" s="66"/>
      <c r="E21" s="66"/>
      <c r="F21" s="67"/>
    </row>
    <row r="22" spans="1:6" ht="21.95" customHeight="1" x14ac:dyDescent="0.25">
      <c r="A22" s="65" t="s">
        <v>22</v>
      </c>
      <c r="B22" s="66"/>
      <c r="C22" s="66"/>
      <c r="D22" s="66"/>
      <c r="E22" s="66"/>
      <c r="F22" s="67"/>
    </row>
    <row r="23" spans="1:6" ht="69.75" customHeight="1" x14ac:dyDescent="0.25">
      <c r="A23" s="61"/>
      <c r="B23" s="68" t="s">
        <v>23</v>
      </c>
      <c r="C23" s="69" t="s">
        <v>280</v>
      </c>
      <c r="D23" s="66"/>
      <c r="E23" s="66"/>
      <c r="F23" s="67"/>
    </row>
    <row r="24" spans="1:6" ht="67.5" customHeight="1" x14ac:dyDescent="0.25">
      <c r="A24" s="61"/>
      <c r="B24" s="68" t="s">
        <v>24</v>
      </c>
      <c r="C24" s="69" t="s">
        <v>281</v>
      </c>
      <c r="D24" s="66"/>
      <c r="E24" s="66"/>
      <c r="F24" s="67"/>
    </row>
    <row r="25" spans="1:6" x14ac:dyDescent="0.25">
      <c r="A25" s="71" t="s">
        <v>25</v>
      </c>
      <c r="B25" s="66"/>
      <c r="C25" s="66"/>
      <c r="D25" s="66"/>
      <c r="E25" s="66"/>
      <c r="F25" s="67"/>
    </row>
    <row r="26" spans="1:6" ht="28.5" customHeight="1" x14ac:dyDescent="0.25">
      <c r="A26" s="61"/>
      <c r="B26" s="72" t="s">
        <v>26</v>
      </c>
      <c r="C26" s="72" t="s">
        <v>27</v>
      </c>
      <c r="D26" s="72" t="s">
        <v>28</v>
      </c>
      <c r="E26" s="72" t="s">
        <v>29</v>
      </c>
      <c r="F26" s="61"/>
    </row>
    <row r="27" spans="1:6" ht="60" customHeight="1" x14ac:dyDescent="0.25">
      <c r="A27" s="61"/>
      <c r="B27" s="63" t="s">
        <v>30</v>
      </c>
      <c r="C27" s="63" t="s">
        <v>31</v>
      </c>
      <c r="D27" s="63" t="s">
        <v>32</v>
      </c>
      <c r="E27" s="63" t="s">
        <v>33</v>
      </c>
      <c r="F27" s="61"/>
    </row>
    <row r="28" spans="1:6" ht="50.25" customHeight="1" x14ac:dyDescent="0.25">
      <c r="A28" s="61"/>
      <c r="B28" s="63" t="s">
        <v>34</v>
      </c>
      <c r="C28" s="63" t="s">
        <v>35</v>
      </c>
      <c r="D28" s="63" t="s">
        <v>36</v>
      </c>
      <c r="E28" s="63" t="s">
        <v>37</v>
      </c>
      <c r="F28" s="61"/>
    </row>
    <row r="29" spans="1:6" ht="66" customHeight="1" x14ac:dyDescent="0.25">
      <c r="A29" s="61"/>
      <c r="B29" s="63" t="s">
        <v>38</v>
      </c>
      <c r="C29" s="63" t="s">
        <v>39</v>
      </c>
      <c r="D29" s="63" t="s">
        <v>40</v>
      </c>
      <c r="E29" s="63" t="s">
        <v>41</v>
      </c>
      <c r="F29" s="61"/>
    </row>
    <row r="30" spans="1:6" ht="49.5" customHeight="1" x14ac:dyDescent="0.25">
      <c r="A30" s="61"/>
      <c r="B30" s="63" t="s">
        <v>42</v>
      </c>
      <c r="C30" s="63" t="s">
        <v>43</v>
      </c>
      <c r="D30" s="63" t="s">
        <v>44</v>
      </c>
      <c r="E30" s="63" t="s">
        <v>45</v>
      </c>
      <c r="F30" s="61"/>
    </row>
    <row r="32" spans="1:6" x14ac:dyDescent="0.25">
      <c r="B32" s="38" t="s">
        <v>46</v>
      </c>
      <c r="C32" s="37"/>
      <c r="D32" s="37"/>
      <c r="E32" s="37"/>
      <c r="F32" s="37"/>
    </row>
  </sheetData>
  <mergeCells count="25">
    <mergeCell ref="C23:F23"/>
    <mergeCell ref="C7:F7"/>
    <mergeCell ref="A18:F18"/>
    <mergeCell ref="C19:F19"/>
    <mergeCell ref="A4:F4"/>
    <mergeCell ref="A20:F20"/>
    <mergeCell ref="C5:F5"/>
    <mergeCell ref="A16:F16"/>
    <mergeCell ref="C17:F17"/>
    <mergeCell ref="A1:F1"/>
    <mergeCell ref="C12:F12"/>
    <mergeCell ref="C21:F21"/>
    <mergeCell ref="C11:F11"/>
    <mergeCell ref="B32:F32"/>
    <mergeCell ref="A25:F25"/>
    <mergeCell ref="C24:F24"/>
    <mergeCell ref="C14:F14"/>
    <mergeCell ref="A13:F13"/>
    <mergeCell ref="C10:F10"/>
    <mergeCell ref="C9:F9"/>
    <mergeCell ref="A2:F2"/>
    <mergeCell ref="C6:F6"/>
    <mergeCell ref="A8:F8"/>
    <mergeCell ref="A22:F22"/>
    <mergeCell ref="C15:F15"/>
  </mergeCells>
  <pageMargins left="0.75" right="0.75" top="1" bottom="1" header="0.5" footer="0.5"/>
  <pageSetup orientation="portrait" horizontalDpi="30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pane ySplit="3" topLeftCell="A13" activePane="bottomLeft" state="frozen"/>
      <selection activeCell="H7" sqref="A1:XFD1048576"/>
      <selection pane="bottomLeft" activeCell="C6" sqref="C6:D6"/>
    </sheetView>
  </sheetViews>
  <sheetFormatPr defaultRowHeight="15" x14ac:dyDescent="0.25"/>
  <cols>
    <col min="1" max="1" width="4" style="61" customWidth="1"/>
    <col min="2" max="2" width="34" style="61" customWidth="1"/>
    <col min="3" max="3" width="80" style="61" customWidth="1"/>
    <col min="4" max="4" width="22" style="61" customWidth="1"/>
    <col min="5" max="16384" width="9.140625" style="61"/>
  </cols>
  <sheetData>
    <row r="1" spans="1:4" ht="27.95" customHeight="1" x14ac:dyDescent="0.25">
      <c r="A1" s="73" t="s">
        <v>47</v>
      </c>
      <c r="B1" s="60"/>
      <c r="C1" s="60"/>
      <c r="D1" s="60"/>
    </row>
    <row r="2" spans="1:4" x14ac:dyDescent="0.25">
      <c r="A2" s="74" t="s">
        <v>293</v>
      </c>
      <c r="B2" s="60"/>
      <c r="C2" s="60"/>
      <c r="D2" s="60"/>
    </row>
    <row r="4" spans="1:4" ht="21.95" customHeight="1" x14ac:dyDescent="0.25">
      <c r="A4" s="75" t="s">
        <v>48</v>
      </c>
      <c r="B4" s="60"/>
      <c r="C4" s="60"/>
      <c r="D4" s="60"/>
    </row>
    <row r="5" spans="1:4" ht="60" customHeight="1" x14ac:dyDescent="0.25">
      <c r="B5" s="68" t="s">
        <v>49</v>
      </c>
      <c r="C5" s="69" t="s">
        <v>50</v>
      </c>
      <c r="D5" s="76"/>
    </row>
    <row r="6" spans="1:4" ht="39.950000000000003" customHeight="1" x14ac:dyDescent="0.25">
      <c r="B6" s="68" t="s">
        <v>51</v>
      </c>
      <c r="C6" s="69" t="s">
        <v>52</v>
      </c>
      <c r="D6" s="76"/>
    </row>
    <row r="7" spans="1:4" ht="54.95" customHeight="1" x14ac:dyDescent="0.25">
      <c r="B7" s="68" t="s">
        <v>53</v>
      </c>
      <c r="C7" s="69" t="s">
        <v>54</v>
      </c>
      <c r="D7" s="76"/>
    </row>
    <row r="8" spans="1:4" ht="21.95" customHeight="1" x14ac:dyDescent="0.25">
      <c r="A8" s="75" t="s">
        <v>55</v>
      </c>
      <c r="B8" s="60"/>
      <c r="C8" s="60"/>
      <c r="D8" s="60"/>
    </row>
    <row r="9" spans="1:4" ht="21.95" customHeight="1" x14ac:dyDescent="0.25">
      <c r="A9" s="75" t="s">
        <v>56</v>
      </c>
      <c r="B9" s="60"/>
      <c r="C9" s="60"/>
      <c r="D9" s="60"/>
    </row>
    <row r="10" spans="1:4" ht="20.100000000000001" customHeight="1" x14ac:dyDescent="0.25">
      <c r="B10" s="72" t="s">
        <v>57</v>
      </c>
      <c r="C10" s="72" t="s">
        <v>58</v>
      </c>
      <c r="D10" s="72" t="s">
        <v>59</v>
      </c>
    </row>
    <row r="11" spans="1:4" ht="26.1" customHeight="1" x14ac:dyDescent="0.25">
      <c r="B11" s="77" t="s">
        <v>60</v>
      </c>
      <c r="C11" s="78">
        <v>1</v>
      </c>
      <c r="D11" s="63" t="s">
        <v>61</v>
      </c>
    </row>
    <row r="12" spans="1:4" ht="26.1" customHeight="1" x14ac:dyDescent="0.25">
      <c r="B12" s="77" t="s">
        <v>62</v>
      </c>
      <c r="C12" s="78">
        <v>1</v>
      </c>
      <c r="D12" s="63" t="s">
        <v>63</v>
      </c>
    </row>
    <row r="13" spans="1:4" ht="26.1" customHeight="1" x14ac:dyDescent="0.25">
      <c r="B13" s="77" t="s">
        <v>64</v>
      </c>
      <c r="C13" s="78">
        <v>1</v>
      </c>
      <c r="D13" s="63" t="s">
        <v>65</v>
      </c>
    </row>
    <row r="14" spans="1:4" ht="26.1" customHeight="1" x14ac:dyDescent="0.25">
      <c r="B14" s="77" t="s">
        <v>66</v>
      </c>
      <c r="C14" s="78">
        <v>0</v>
      </c>
      <c r="D14" s="63"/>
    </row>
    <row r="15" spans="1:4" ht="26.1" customHeight="1" x14ac:dyDescent="0.25">
      <c r="B15" s="77" t="s">
        <v>67</v>
      </c>
      <c r="C15" s="78">
        <v>1</v>
      </c>
      <c r="D15" s="63" t="s">
        <v>68</v>
      </c>
    </row>
    <row r="16" spans="1:4" ht="26.1" customHeight="1" x14ac:dyDescent="0.25">
      <c r="B16" s="77" t="s">
        <v>69</v>
      </c>
      <c r="C16" s="78">
        <v>0</v>
      </c>
      <c r="D16" s="63"/>
    </row>
    <row r="17" spans="1:4" ht="21.95" customHeight="1" x14ac:dyDescent="0.25">
      <c r="A17" s="75" t="s">
        <v>70</v>
      </c>
      <c r="B17" s="60"/>
      <c r="C17" s="60"/>
      <c r="D17" s="60"/>
    </row>
    <row r="18" spans="1:4" ht="20.100000000000001" customHeight="1" x14ac:dyDescent="0.25">
      <c r="B18" s="72" t="s">
        <v>57</v>
      </c>
      <c r="C18" s="72" t="s">
        <v>58</v>
      </c>
      <c r="D18" s="72" t="s">
        <v>59</v>
      </c>
    </row>
    <row r="19" spans="1:4" ht="41.25" customHeight="1" x14ac:dyDescent="0.25">
      <c r="B19" s="77" t="s">
        <v>71</v>
      </c>
      <c r="C19" s="78">
        <v>1</v>
      </c>
      <c r="D19" s="63" t="s">
        <v>72</v>
      </c>
    </row>
    <row r="20" spans="1:4" ht="37.5" customHeight="1" x14ac:dyDescent="0.25">
      <c r="B20" s="77" t="s">
        <v>73</v>
      </c>
      <c r="C20" s="78">
        <v>0</v>
      </c>
      <c r="D20" s="63" t="s">
        <v>74</v>
      </c>
    </row>
    <row r="21" spans="1:4" ht="42" customHeight="1" x14ac:dyDescent="0.25">
      <c r="B21" s="77" t="s">
        <v>75</v>
      </c>
      <c r="C21" s="78">
        <v>0</v>
      </c>
      <c r="D21" s="63" t="s">
        <v>76</v>
      </c>
    </row>
    <row r="22" spans="1:4" ht="40.5" customHeight="1" x14ac:dyDescent="0.25">
      <c r="B22" s="77" t="s">
        <v>77</v>
      </c>
      <c r="C22" s="78">
        <v>0</v>
      </c>
      <c r="D22" s="63" t="s">
        <v>76</v>
      </c>
    </row>
    <row r="23" spans="1:4" ht="26.1" customHeight="1" x14ac:dyDescent="0.25">
      <c r="B23" s="77" t="s">
        <v>78</v>
      </c>
      <c r="C23" s="78">
        <v>1</v>
      </c>
      <c r="D23" s="63" t="s">
        <v>79</v>
      </c>
    </row>
    <row r="24" spans="1:4" ht="21.95" customHeight="1" x14ac:dyDescent="0.25">
      <c r="A24" s="75" t="s">
        <v>80</v>
      </c>
      <c r="B24" s="60"/>
      <c r="C24" s="60"/>
      <c r="D24" s="60"/>
    </row>
    <row r="25" spans="1:4" ht="84.95" customHeight="1" x14ac:dyDescent="0.25">
      <c r="B25" s="68" t="s">
        <v>81</v>
      </c>
      <c r="C25" s="69" t="s">
        <v>82</v>
      </c>
      <c r="D25" s="76"/>
    </row>
  </sheetData>
  <mergeCells count="11">
    <mergeCell ref="C25:D25"/>
    <mergeCell ref="C5:D5"/>
    <mergeCell ref="A24:D24"/>
    <mergeCell ref="A2:D2"/>
    <mergeCell ref="A1:D1"/>
    <mergeCell ref="A17:D17"/>
    <mergeCell ref="A9:D9"/>
    <mergeCell ref="C6:D6"/>
    <mergeCell ref="C7:D7"/>
    <mergeCell ref="A8:D8"/>
    <mergeCell ref="A4:D4"/>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
  <sheetViews>
    <sheetView workbookViewId="0">
      <pane ySplit="1" topLeftCell="A2" activePane="bottomLeft" state="frozen"/>
      <selection activeCell="H7" sqref="A1:XFD1048576"/>
      <selection pane="bottomLeft" activeCell="D9" sqref="D9"/>
    </sheetView>
  </sheetViews>
  <sheetFormatPr defaultRowHeight="15" x14ac:dyDescent="0.25"/>
  <cols>
    <col min="1" max="1" width="16" style="61" customWidth="1"/>
    <col min="2" max="2" width="12" style="61" customWidth="1"/>
    <col min="3" max="4" width="18" style="61" customWidth="1"/>
    <col min="5" max="5" width="16" style="61" customWidth="1"/>
    <col min="6" max="6" width="18" style="61" customWidth="1"/>
    <col min="7" max="7" width="16" style="61" customWidth="1"/>
    <col min="8" max="8" width="12" style="61" customWidth="1"/>
    <col min="9" max="9" width="28" style="61" customWidth="1"/>
    <col min="10" max="10" width="14" style="61" customWidth="1"/>
    <col min="11" max="11" width="26" style="61" customWidth="1"/>
    <col min="12" max="12" width="36" style="61" customWidth="1"/>
    <col min="13" max="13" width="34" style="61" customWidth="1"/>
    <col min="14" max="14" width="26" style="61" customWidth="1"/>
    <col min="15" max="15" width="30" style="61" customWidth="1"/>
    <col min="16" max="16" width="26" style="61" customWidth="1"/>
    <col min="17" max="17" width="18" style="61" customWidth="1"/>
    <col min="18" max="16384" width="9.140625" style="61"/>
  </cols>
  <sheetData>
    <row r="1" spans="1:18" ht="28.5" x14ac:dyDescent="0.25">
      <c r="A1" s="62" t="s">
        <v>83</v>
      </c>
      <c r="B1" s="62" t="s">
        <v>84</v>
      </c>
      <c r="C1" s="62" t="s">
        <v>85</v>
      </c>
      <c r="D1" s="62" t="s">
        <v>86</v>
      </c>
      <c r="E1" s="62" t="s">
        <v>87</v>
      </c>
      <c r="F1" s="62" t="s">
        <v>88</v>
      </c>
      <c r="G1" s="62" t="s">
        <v>89</v>
      </c>
      <c r="H1" s="62" t="s">
        <v>90</v>
      </c>
      <c r="I1" s="62" t="s">
        <v>91</v>
      </c>
      <c r="J1" s="62" t="s">
        <v>92</v>
      </c>
      <c r="K1" s="62" t="s">
        <v>93</v>
      </c>
      <c r="L1" s="62" t="s">
        <v>94</v>
      </c>
      <c r="M1" s="62" t="s">
        <v>95</v>
      </c>
      <c r="N1" s="62" t="s">
        <v>96</v>
      </c>
      <c r="O1" s="62" t="s">
        <v>97</v>
      </c>
      <c r="P1" s="62" t="s">
        <v>98</v>
      </c>
      <c r="Q1" s="62" t="s">
        <v>99</v>
      </c>
      <c r="R1" s="62" t="s">
        <v>59</v>
      </c>
    </row>
    <row r="2" spans="1:18" ht="90" customHeight="1" x14ac:dyDescent="0.25">
      <c r="A2" s="78" t="s">
        <v>292</v>
      </c>
      <c r="B2" s="78" t="s">
        <v>100</v>
      </c>
      <c r="C2" s="63" t="s">
        <v>101</v>
      </c>
      <c r="D2" s="63" t="s">
        <v>102</v>
      </c>
      <c r="E2" s="63" t="s">
        <v>103</v>
      </c>
      <c r="F2" s="63" t="s">
        <v>103</v>
      </c>
      <c r="G2" s="63" t="s">
        <v>104</v>
      </c>
      <c r="H2" s="78" t="s">
        <v>289</v>
      </c>
      <c r="I2" s="63" t="s">
        <v>105</v>
      </c>
      <c r="J2" s="63" t="s">
        <v>106</v>
      </c>
      <c r="K2" s="63" t="s">
        <v>107</v>
      </c>
      <c r="L2" s="63" t="s">
        <v>108</v>
      </c>
      <c r="M2" s="63" t="s">
        <v>109</v>
      </c>
      <c r="N2" s="63" t="s">
        <v>110</v>
      </c>
      <c r="O2" s="63" t="s">
        <v>111</v>
      </c>
      <c r="P2" s="63" t="s">
        <v>112</v>
      </c>
      <c r="Q2" s="63" t="s">
        <v>113</v>
      </c>
      <c r="R2" s="6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Views>
    <sheetView tabSelected="1" zoomScale="90" zoomScaleNormal="90" workbookViewId="0">
      <pane ySplit="2" topLeftCell="A3" activePane="bottomLeft" state="frozen"/>
      <selection activeCell="H7" sqref="A1:XFD1048576"/>
      <selection pane="bottomLeft" sqref="A1:H1"/>
    </sheetView>
  </sheetViews>
  <sheetFormatPr defaultRowHeight="15" x14ac:dyDescent="0.25"/>
  <cols>
    <col min="1" max="1" width="14" style="61" customWidth="1"/>
    <col min="2" max="2" width="34" style="61" customWidth="1"/>
    <col min="3" max="3" width="30" style="61" customWidth="1"/>
    <col min="4" max="4" width="34" style="61" customWidth="1"/>
    <col min="5" max="5" width="28" style="61" customWidth="1"/>
    <col min="6" max="6" width="30" style="61" customWidth="1"/>
    <col min="7" max="7" width="26" style="61" customWidth="1"/>
    <col min="8" max="8" width="18" style="61" customWidth="1"/>
    <col min="9" max="16384" width="9.140625" style="61"/>
  </cols>
  <sheetData>
    <row r="1" spans="1:8" ht="26.1" customHeight="1" x14ac:dyDescent="0.25">
      <c r="A1" s="59" t="s">
        <v>295</v>
      </c>
      <c r="B1" s="60"/>
      <c r="C1" s="60"/>
      <c r="D1" s="60"/>
      <c r="E1" s="60"/>
      <c r="F1" s="60"/>
      <c r="G1" s="60"/>
      <c r="H1" s="60"/>
    </row>
    <row r="2" spans="1:8" ht="28.5" x14ac:dyDescent="0.25">
      <c r="A2" s="62" t="s">
        <v>84</v>
      </c>
      <c r="B2" s="62" t="s">
        <v>266</v>
      </c>
      <c r="C2" s="62" t="s">
        <v>267</v>
      </c>
      <c r="D2" s="62" t="s">
        <v>268</v>
      </c>
      <c r="E2" s="62" t="s">
        <v>269</v>
      </c>
      <c r="F2" s="62" t="s">
        <v>270</v>
      </c>
      <c r="G2" s="62" t="s">
        <v>98</v>
      </c>
      <c r="H2" s="62" t="s">
        <v>271</v>
      </c>
    </row>
    <row r="3" spans="1:8" ht="180" customHeight="1" x14ac:dyDescent="0.25">
      <c r="A3" s="63" t="s">
        <v>100</v>
      </c>
      <c r="B3" s="63" t="s">
        <v>272</v>
      </c>
      <c r="C3" s="63" t="s">
        <v>282</v>
      </c>
      <c r="D3" s="63" t="s">
        <v>273</v>
      </c>
      <c r="E3" s="64" t="s">
        <v>283</v>
      </c>
      <c r="F3" s="64" t="s">
        <v>274</v>
      </c>
      <c r="G3" s="63" t="s">
        <v>275</v>
      </c>
      <c r="H3" s="63" t="s">
        <v>276</v>
      </c>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pane ySplit="3" topLeftCell="A4" activePane="bottomLeft" state="frozen"/>
      <selection activeCell="H7" sqref="A1:XFD1048576"/>
      <selection pane="bottomLeft" activeCell="G7" sqref="A1:XFD1048576"/>
    </sheetView>
  </sheetViews>
  <sheetFormatPr defaultRowHeight="15" x14ac:dyDescent="0.25"/>
  <cols>
    <col min="1" max="1" width="26" style="61" customWidth="1"/>
    <col min="2" max="2" width="90" style="61" customWidth="1"/>
    <col min="3" max="4" width="2" style="61" customWidth="1"/>
    <col min="5" max="16384" width="9.140625" style="61"/>
  </cols>
  <sheetData>
    <row r="1" spans="1:4" ht="18.75" x14ac:dyDescent="0.3">
      <c r="A1" s="79" t="s">
        <v>114</v>
      </c>
      <c r="B1" s="60"/>
      <c r="C1" s="60"/>
      <c r="D1" s="60"/>
    </row>
    <row r="3" spans="1:4" x14ac:dyDescent="0.25">
      <c r="A3" s="62" t="s">
        <v>115</v>
      </c>
      <c r="B3" s="62" t="s">
        <v>116</v>
      </c>
    </row>
    <row r="4" spans="1:4" ht="30" x14ac:dyDescent="0.25">
      <c r="A4" s="77" t="s">
        <v>117</v>
      </c>
      <c r="B4" s="63" t="s">
        <v>118</v>
      </c>
    </row>
    <row r="5" spans="1:4" ht="45" x14ac:dyDescent="0.25">
      <c r="A5" s="77" t="s">
        <v>119</v>
      </c>
      <c r="B5" s="63" t="s">
        <v>120</v>
      </c>
    </row>
    <row r="6" spans="1:4" ht="30" x14ac:dyDescent="0.25">
      <c r="A6" s="77" t="s">
        <v>121</v>
      </c>
      <c r="B6" s="63" t="s">
        <v>122</v>
      </c>
    </row>
    <row r="7" spans="1:4" x14ac:dyDescent="0.25">
      <c r="A7" s="77" t="s">
        <v>17</v>
      </c>
      <c r="B7" s="63" t="s">
        <v>123</v>
      </c>
    </row>
    <row r="8" spans="1:4" ht="30" x14ac:dyDescent="0.25">
      <c r="A8" s="77" t="s">
        <v>124</v>
      </c>
      <c r="B8" s="63" t="s">
        <v>125</v>
      </c>
    </row>
    <row r="9" spans="1:4" ht="60" x14ac:dyDescent="0.25">
      <c r="A9" s="77" t="s">
        <v>126</v>
      </c>
      <c r="B9" s="63" t="s">
        <v>127</v>
      </c>
    </row>
  </sheetData>
  <mergeCells count="1">
    <mergeCell ref="A1:D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04"/>
  <sheetViews>
    <sheetView showGridLines="0" workbookViewId="0">
      <selection activeCell="O24" sqref="O23:O24"/>
    </sheetView>
  </sheetViews>
  <sheetFormatPr defaultRowHeight="15" x14ac:dyDescent="0.25"/>
  <cols>
    <col min="1" max="1" width="20" style="28" customWidth="1"/>
    <col min="2" max="2" width="20.85546875" style="28" customWidth="1"/>
    <col min="3" max="3" width="10" style="28" customWidth="1"/>
    <col min="4" max="4" width="21" style="28" customWidth="1"/>
    <col min="5" max="5" width="11.42578125" style="28" customWidth="1"/>
    <col min="6" max="6" width="9" style="28" customWidth="1"/>
    <col min="7" max="8" width="10" style="28" customWidth="1"/>
    <col min="9" max="9" width="16" style="28" customWidth="1"/>
    <col min="10" max="10" width="18" style="28" customWidth="1"/>
    <col min="11" max="11" width="8" style="28" customWidth="1"/>
    <col min="12" max="12" width="40" style="28" customWidth="1"/>
    <col min="13" max="13" width="30" style="28" customWidth="1"/>
    <col min="14" max="14" width="3" style="28" customWidth="1"/>
    <col min="15" max="15" width="22" style="28" customWidth="1"/>
  </cols>
  <sheetData>
    <row r="1" spans="1:13" ht="27.95" customHeight="1" x14ac:dyDescent="0.25">
      <c r="A1" s="40" t="s">
        <v>229</v>
      </c>
      <c r="B1" s="37"/>
      <c r="C1" s="37"/>
      <c r="D1" s="37"/>
      <c r="E1" s="37"/>
      <c r="F1" s="37"/>
      <c r="G1" s="37"/>
      <c r="H1" s="37"/>
      <c r="I1" s="37"/>
      <c r="J1" s="37"/>
      <c r="K1" s="37"/>
      <c r="L1" s="37"/>
      <c r="M1" s="37"/>
    </row>
    <row r="2" spans="1:13" x14ac:dyDescent="0.25">
      <c r="A2" s="9" t="s">
        <v>230</v>
      </c>
      <c r="B2" s="21">
        <v>46054.375</v>
      </c>
      <c r="D2" s="9" t="s">
        <v>231</v>
      </c>
      <c r="E2" s="10">
        <v>300</v>
      </c>
      <c r="G2" s="9" t="s">
        <v>133</v>
      </c>
      <c r="H2" s="11" t="s">
        <v>100</v>
      </c>
    </row>
    <row r="4" spans="1:13" ht="30" customHeight="1" x14ac:dyDescent="0.25">
      <c r="A4" s="22" t="s">
        <v>232</v>
      </c>
      <c r="B4" s="22" t="s">
        <v>233</v>
      </c>
      <c r="C4" s="22" t="s">
        <v>234</v>
      </c>
      <c r="D4" s="22" t="s">
        <v>172</v>
      </c>
      <c r="E4" s="22" t="s">
        <v>235</v>
      </c>
      <c r="F4" s="22" t="s">
        <v>236</v>
      </c>
      <c r="G4" s="22" t="s">
        <v>237</v>
      </c>
      <c r="H4" s="22" t="s">
        <v>238</v>
      </c>
      <c r="I4" s="22" t="s">
        <v>239</v>
      </c>
      <c r="J4" s="22" t="s">
        <v>240</v>
      </c>
      <c r="K4" s="22" t="s">
        <v>214</v>
      </c>
      <c r="L4" s="22" t="s">
        <v>241</v>
      </c>
      <c r="M4" s="22" t="s">
        <v>175</v>
      </c>
    </row>
    <row r="5" spans="1:13" x14ac:dyDescent="0.25">
      <c r="A5" s="12">
        <v>46054.375</v>
      </c>
      <c r="B5" s="13">
        <v>0</v>
      </c>
      <c r="C5" s="14">
        <v>1</v>
      </c>
      <c r="D5" s="15" t="s">
        <v>242</v>
      </c>
      <c r="E5" s="14">
        <v>3.8</v>
      </c>
      <c r="F5" s="13">
        <v>1.8</v>
      </c>
      <c r="G5" s="14">
        <v>297</v>
      </c>
      <c r="H5" s="14">
        <v>4</v>
      </c>
      <c r="I5" s="14">
        <v>0</v>
      </c>
      <c r="J5" s="14">
        <v>1</v>
      </c>
      <c r="K5" s="14">
        <v>0</v>
      </c>
      <c r="L5" s="16"/>
      <c r="M5" s="16"/>
    </row>
    <row r="6" spans="1:13" x14ac:dyDescent="0.25">
      <c r="A6" s="12">
        <v>46054.378472222219</v>
      </c>
      <c r="B6" s="13">
        <v>5</v>
      </c>
      <c r="C6" s="14">
        <v>2</v>
      </c>
      <c r="D6" s="15" t="s">
        <v>242</v>
      </c>
      <c r="E6" s="14">
        <v>6.3159999999999998</v>
      </c>
      <c r="F6" s="13">
        <v>0.2</v>
      </c>
      <c r="G6" s="14">
        <v>422</v>
      </c>
      <c r="H6" s="14">
        <v>12</v>
      </c>
      <c r="I6" s="14">
        <v>0</v>
      </c>
      <c r="J6" s="14">
        <v>1</v>
      </c>
      <c r="K6" s="14">
        <v>0</v>
      </c>
      <c r="L6" s="16"/>
      <c r="M6" s="16"/>
    </row>
    <row r="7" spans="1:13" x14ac:dyDescent="0.25">
      <c r="A7" s="12">
        <v>46054.381944444453</v>
      </c>
      <c r="B7" s="13">
        <v>10</v>
      </c>
      <c r="C7" s="14">
        <v>3</v>
      </c>
      <c r="D7" s="15" t="s">
        <v>242</v>
      </c>
      <c r="E7" s="14">
        <v>9.42</v>
      </c>
      <c r="F7" s="13">
        <v>2.2999999999999998</v>
      </c>
      <c r="G7" s="14">
        <v>464</v>
      </c>
      <c r="H7" s="14">
        <v>7</v>
      </c>
      <c r="I7" s="14">
        <v>0</v>
      </c>
      <c r="J7" s="14">
        <v>1</v>
      </c>
      <c r="K7" s="14">
        <v>0</v>
      </c>
      <c r="L7" s="16"/>
      <c r="M7" s="16"/>
    </row>
    <row r="8" spans="1:13" x14ac:dyDescent="0.25">
      <c r="A8" s="12">
        <v>46054.385416493053</v>
      </c>
      <c r="B8" s="13">
        <v>15</v>
      </c>
      <c r="C8" s="14">
        <v>4</v>
      </c>
      <c r="D8" s="15" t="s">
        <v>242</v>
      </c>
      <c r="E8" s="14">
        <v>11.42</v>
      </c>
      <c r="F8" s="13">
        <v>2.2999999999999998</v>
      </c>
      <c r="G8" s="14">
        <v>481</v>
      </c>
      <c r="H8" s="14">
        <v>11</v>
      </c>
      <c r="I8" s="14">
        <v>0</v>
      </c>
      <c r="J8" s="14">
        <v>1</v>
      </c>
      <c r="K8" s="14">
        <v>0</v>
      </c>
      <c r="L8" s="16"/>
      <c r="M8" s="16"/>
    </row>
    <row r="9" spans="1:13" x14ac:dyDescent="0.25">
      <c r="A9" s="12">
        <v>46054.388888657413</v>
      </c>
      <c r="B9" s="13">
        <v>20</v>
      </c>
      <c r="C9" s="14">
        <v>5</v>
      </c>
      <c r="D9" s="15" t="s">
        <v>242</v>
      </c>
      <c r="E9" s="14">
        <v>12.183999999999999</v>
      </c>
      <c r="F9" s="13">
        <v>3</v>
      </c>
      <c r="G9" s="14">
        <v>470</v>
      </c>
      <c r="H9" s="14">
        <v>7</v>
      </c>
      <c r="I9" s="14">
        <v>0</v>
      </c>
      <c r="J9" s="14">
        <v>1</v>
      </c>
      <c r="K9" s="14">
        <v>0</v>
      </c>
      <c r="L9" s="16"/>
      <c r="M9" s="16"/>
    </row>
    <row r="10" spans="1:13" x14ac:dyDescent="0.25">
      <c r="A10" s="12">
        <v>46054.392360821759</v>
      </c>
      <c r="B10" s="13">
        <v>25</v>
      </c>
      <c r="C10" s="14">
        <v>6</v>
      </c>
      <c r="D10" s="15" t="s">
        <v>242</v>
      </c>
      <c r="E10" s="14">
        <v>12.5</v>
      </c>
      <c r="F10" s="13">
        <v>3.2</v>
      </c>
      <c r="G10" s="14">
        <v>495</v>
      </c>
      <c r="H10" s="14">
        <v>9</v>
      </c>
      <c r="I10" s="14">
        <v>0</v>
      </c>
      <c r="J10" s="14">
        <v>1</v>
      </c>
      <c r="K10" s="14">
        <v>0</v>
      </c>
      <c r="L10" s="16"/>
      <c r="M10" s="16"/>
    </row>
    <row r="11" spans="1:13" x14ac:dyDescent="0.25">
      <c r="A11" s="12">
        <v>46054.395832986113</v>
      </c>
      <c r="B11" s="13">
        <v>30</v>
      </c>
      <c r="C11" s="14">
        <v>7</v>
      </c>
      <c r="D11" s="15" t="s">
        <v>242</v>
      </c>
      <c r="E11" s="14">
        <v>12.496</v>
      </c>
      <c r="F11" s="13">
        <v>3</v>
      </c>
      <c r="G11" s="14">
        <v>475</v>
      </c>
      <c r="H11" s="14">
        <v>6</v>
      </c>
      <c r="I11" s="14">
        <v>0</v>
      </c>
      <c r="J11" s="14">
        <v>1</v>
      </c>
      <c r="K11" s="14">
        <v>0</v>
      </c>
      <c r="L11" s="16"/>
      <c r="M11" s="16"/>
    </row>
    <row r="12" spans="1:13" x14ac:dyDescent="0.25">
      <c r="A12" s="12">
        <v>46054.399305150473</v>
      </c>
      <c r="B12" s="13">
        <v>35</v>
      </c>
      <c r="C12" s="14">
        <v>8</v>
      </c>
      <c r="D12" s="15" t="s">
        <v>242</v>
      </c>
      <c r="E12" s="14">
        <v>12.72</v>
      </c>
      <c r="F12" s="13">
        <v>2.8</v>
      </c>
      <c r="G12" s="14">
        <v>475</v>
      </c>
      <c r="H12" s="14">
        <v>7</v>
      </c>
      <c r="I12" s="14">
        <v>0</v>
      </c>
      <c r="J12" s="14">
        <v>1</v>
      </c>
      <c r="K12" s="14">
        <v>0</v>
      </c>
      <c r="L12" s="16"/>
      <c r="M12" s="16"/>
    </row>
    <row r="13" spans="1:13" x14ac:dyDescent="0.25">
      <c r="A13" s="12">
        <v>46054.402777314812</v>
      </c>
      <c r="B13" s="13">
        <v>40</v>
      </c>
      <c r="C13" s="14">
        <v>9</v>
      </c>
      <c r="D13" s="15" t="s">
        <v>243</v>
      </c>
      <c r="E13" s="14">
        <v>13</v>
      </c>
      <c r="F13" s="13">
        <v>0</v>
      </c>
      <c r="G13" s="14">
        <v>500</v>
      </c>
      <c r="H13" s="14">
        <v>6</v>
      </c>
      <c r="I13" s="14">
        <v>0</v>
      </c>
      <c r="J13" s="14">
        <v>1</v>
      </c>
      <c r="K13" s="14">
        <v>0</v>
      </c>
      <c r="L13" s="16"/>
      <c r="M13" s="16"/>
    </row>
    <row r="14" spans="1:13" x14ac:dyDescent="0.25">
      <c r="A14" s="12">
        <v>46054.406249479172</v>
      </c>
      <c r="B14" s="13">
        <v>45</v>
      </c>
      <c r="C14" s="14">
        <v>10</v>
      </c>
      <c r="D14" s="15" t="s">
        <v>243</v>
      </c>
      <c r="E14" s="14">
        <v>13.04</v>
      </c>
      <c r="F14" s="13">
        <v>0</v>
      </c>
      <c r="G14" s="14">
        <v>547</v>
      </c>
      <c r="H14" s="14">
        <v>7</v>
      </c>
      <c r="I14" s="14">
        <v>0</v>
      </c>
      <c r="J14" s="14">
        <v>1</v>
      </c>
      <c r="K14" s="14">
        <v>0</v>
      </c>
      <c r="L14" s="16"/>
      <c r="M14" s="16"/>
    </row>
    <row r="15" spans="1:13" x14ac:dyDescent="0.25">
      <c r="A15" s="12">
        <v>46054.409721643518</v>
      </c>
      <c r="B15" s="13">
        <v>50</v>
      </c>
      <c r="C15" s="14">
        <v>11</v>
      </c>
      <c r="D15" s="15" t="s">
        <v>242</v>
      </c>
      <c r="E15" s="14">
        <v>12.5</v>
      </c>
      <c r="F15" s="13">
        <v>1.9</v>
      </c>
      <c r="G15" s="14">
        <v>598</v>
      </c>
      <c r="H15" s="14">
        <v>6</v>
      </c>
      <c r="I15" s="14">
        <v>0</v>
      </c>
      <c r="J15" s="14">
        <v>1</v>
      </c>
      <c r="K15" s="14">
        <v>0</v>
      </c>
      <c r="L15" s="16"/>
      <c r="M15" s="16"/>
    </row>
    <row r="16" spans="1:13" x14ac:dyDescent="0.25">
      <c r="A16" s="12">
        <v>46054.413193807872</v>
      </c>
      <c r="B16" s="13">
        <v>55</v>
      </c>
      <c r="C16" s="14">
        <v>12</v>
      </c>
      <c r="D16" s="15" t="s">
        <v>242</v>
      </c>
      <c r="E16" s="14">
        <v>12.472</v>
      </c>
      <c r="F16" s="13">
        <v>0.6</v>
      </c>
      <c r="G16" s="14">
        <v>648</v>
      </c>
      <c r="H16" s="14">
        <v>7</v>
      </c>
      <c r="I16" s="14">
        <v>0</v>
      </c>
      <c r="J16" s="14">
        <v>1</v>
      </c>
      <c r="K16" s="14">
        <v>0</v>
      </c>
      <c r="L16" s="16"/>
      <c r="M16" s="16"/>
    </row>
    <row r="17" spans="1:13" x14ac:dyDescent="0.25">
      <c r="A17" s="12">
        <v>46054.416665972232</v>
      </c>
      <c r="B17" s="13">
        <v>60</v>
      </c>
      <c r="C17" s="14">
        <v>13</v>
      </c>
      <c r="D17" s="15" t="s">
        <v>243</v>
      </c>
      <c r="E17" s="14">
        <v>12.512</v>
      </c>
      <c r="F17" s="13">
        <v>0</v>
      </c>
      <c r="G17" s="14">
        <v>695</v>
      </c>
      <c r="H17" s="14">
        <v>7</v>
      </c>
      <c r="I17" s="14">
        <v>0</v>
      </c>
      <c r="J17" s="14">
        <v>1</v>
      </c>
      <c r="K17" s="14">
        <v>0</v>
      </c>
      <c r="L17" s="16"/>
      <c r="M17" s="16"/>
    </row>
    <row r="18" spans="1:13" x14ac:dyDescent="0.25">
      <c r="A18" s="12">
        <v>46054.420138078713</v>
      </c>
      <c r="B18" s="13">
        <f t="shared" ref="B18:B81" si="0">IF(OR(A18="",$B$2=""),"", (A18-$B$2)*1440)</f>
        <v>64.998833346180618</v>
      </c>
      <c r="C18" s="14">
        <f>IF(OR(A18="",$B$2=""),"", 14)</f>
        <v>14</v>
      </c>
      <c r="D18" s="15" t="s">
        <v>243</v>
      </c>
      <c r="E18" s="14">
        <v>12.555999999999999</v>
      </c>
      <c r="F18" s="13">
        <v>0</v>
      </c>
      <c r="G18" s="14">
        <v>487</v>
      </c>
      <c r="H18" s="14">
        <v>7</v>
      </c>
      <c r="I18" s="14">
        <v>0</v>
      </c>
      <c r="J18" s="14">
        <v>1</v>
      </c>
      <c r="K18" s="14">
        <v>0</v>
      </c>
      <c r="L18" s="16"/>
      <c r="M18" s="16"/>
    </row>
    <row r="19" spans="1:13" x14ac:dyDescent="0.25">
      <c r="A19" s="12">
        <v>46054.423610243059</v>
      </c>
      <c r="B19" s="13">
        <f t="shared" si="0"/>
        <v>69.998750004451722</v>
      </c>
      <c r="C19" s="14">
        <f>IF(OR(A19="",$B$2=""),"", 15)</f>
        <v>15</v>
      </c>
      <c r="D19" s="15" t="s">
        <v>242</v>
      </c>
      <c r="E19" s="14">
        <v>12.532</v>
      </c>
      <c r="F19" s="13">
        <v>0.9</v>
      </c>
      <c r="G19" s="14">
        <v>483</v>
      </c>
      <c r="H19" s="14">
        <v>7</v>
      </c>
      <c r="I19" s="14">
        <v>0</v>
      </c>
      <c r="J19" s="14">
        <v>1</v>
      </c>
      <c r="K19" s="14">
        <v>0</v>
      </c>
      <c r="L19" s="16"/>
      <c r="M19" s="16"/>
    </row>
    <row r="20" spans="1:13" x14ac:dyDescent="0.25">
      <c r="A20" s="12">
        <v>46054.427082291673</v>
      </c>
      <c r="B20" s="13">
        <f t="shared" si="0"/>
        <v>74.998500009533018</v>
      </c>
      <c r="C20" s="14">
        <f>IF(OR(A20="",$B$2=""),"", 16)</f>
        <v>16</v>
      </c>
      <c r="D20" s="15" t="s">
        <v>242</v>
      </c>
      <c r="E20" s="14">
        <v>12.536</v>
      </c>
      <c r="F20" s="13">
        <v>1.1000000000000001</v>
      </c>
      <c r="G20" s="14">
        <v>483</v>
      </c>
      <c r="H20" s="14">
        <v>7</v>
      </c>
      <c r="I20" s="14">
        <v>0</v>
      </c>
      <c r="J20" s="14">
        <v>1</v>
      </c>
      <c r="K20" s="14">
        <v>0</v>
      </c>
      <c r="L20" s="16"/>
      <c r="M20" s="16"/>
    </row>
    <row r="21" spans="1:13" x14ac:dyDescent="0.25">
      <c r="A21" s="12">
        <v>46054.430554398154</v>
      </c>
      <c r="B21" s="13">
        <f t="shared" si="0"/>
        <v>79.998333341209218</v>
      </c>
      <c r="C21" s="14">
        <f>IF(OR(A21="",$B$2=""),"", 17)</f>
        <v>17</v>
      </c>
      <c r="D21" s="15" t="s">
        <v>243</v>
      </c>
      <c r="E21" s="14">
        <v>12.587999999999999</v>
      </c>
      <c r="F21" s="13">
        <v>0</v>
      </c>
      <c r="G21" s="14">
        <v>536</v>
      </c>
      <c r="H21" s="14">
        <v>7</v>
      </c>
      <c r="I21" s="14">
        <v>0</v>
      </c>
      <c r="J21" s="14">
        <v>1</v>
      </c>
      <c r="K21" s="14">
        <v>0</v>
      </c>
      <c r="L21" s="16"/>
      <c r="M21" s="16"/>
    </row>
    <row r="22" spans="1:13" x14ac:dyDescent="0.25">
      <c r="A22" s="12">
        <v>46054.434026504627</v>
      </c>
      <c r="B22" s="13">
        <f t="shared" si="0"/>
        <v>84.998166662408039</v>
      </c>
      <c r="C22" s="14">
        <f>IF(OR(A22="",$B$2=""),"", 18)</f>
        <v>18</v>
      </c>
      <c r="D22" s="15" t="s">
        <v>243</v>
      </c>
      <c r="E22" s="14">
        <v>12.552</v>
      </c>
      <c r="F22" s="13">
        <v>0</v>
      </c>
      <c r="G22" s="14">
        <v>575</v>
      </c>
      <c r="H22" s="14">
        <v>6</v>
      </c>
      <c r="I22" s="14">
        <v>0</v>
      </c>
      <c r="J22" s="14">
        <v>1</v>
      </c>
      <c r="K22" s="14">
        <v>0</v>
      </c>
      <c r="L22" s="16"/>
      <c r="M22" s="16"/>
    </row>
    <row r="23" spans="1:13" ht="25.5" x14ac:dyDescent="0.25">
      <c r="A23" s="12">
        <v>46054.437498206018</v>
      </c>
      <c r="B23" s="13">
        <f t="shared" si="0"/>
        <v>89.997416666010395</v>
      </c>
      <c r="C23" s="14">
        <f>IF(OR(A23="",$B$2=""),"", 19)</f>
        <v>19</v>
      </c>
      <c r="D23" s="15" t="s">
        <v>242</v>
      </c>
      <c r="E23" s="14">
        <v>812.15599999999995</v>
      </c>
      <c r="F23" s="13">
        <v>7.4</v>
      </c>
      <c r="G23" s="14">
        <v>625</v>
      </c>
      <c r="H23" s="14">
        <v>7</v>
      </c>
      <c r="I23" s="14">
        <v>0</v>
      </c>
      <c r="J23" s="14">
        <v>1</v>
      </c>
      <c r="K23" s="14">
        <v>0</v>
      </c>
      <c r="L23" s="16"/>
      <c r="M23" s="16" t="s">
        <v>294</v>
      </c>
    </row>
    <row r="24" spans="1:13" x14ac:dyDescent="0.25">
      <c r="A24" s="12"/>
      <c r="B24" s="13" t="str">
        <f t="shared" si="0"/>
        <v/>
      </c>
      <c r="C24" s="14" t="str">
        <f>IF(OR(A24="",$B$2=""),"", 20)</f>
        <v/>
      </c>
      <c r="D24" s="15"/>
      <c r="E24" s="14"/>
      <c r="F24" s="13"/>
      <c r="G24" s="14"/>
      <c r="H24" s="14"/>
      <c r="I24" s="14"/>
      <c r="J24" s="14"/>
      <c r="K24" s="14"/>
      <c r="L24" s="16"/>
      <c r="M24" s="16"/>
    </row>
    <row r="25" spans="1:13" x14ac:dyDescent="0.25">
      <c r="A25" s="12"/>
      <c r="B25" s="13" t="str">
        <f t="shared" si="0"/>
        <v/>
      </c>
      <c r="C25" s="14" t="str">
        <f>IF(OR(A25="",$B$2=""),"", 21)</f>
        <v/>
      </c>
      <c r="D25" s="15"/>
      <c r="E25" s="14"/>
      <c r="F25" s="13"/>
      <c r="G25" s="14"/>
      <c r="H25" s="14"/>
      <c r="I25" s="14"/>
      <c r="J25" s="14"/>
      <c r="K25" s="14"/>
      <c r="L25" s="16"/>
      <c r="M25" s="16"/>
    </row>
    <row r="26" spans="1:13" x14ac:dyDescent="0.25">
      <c r="A26" s="12"/>
      <c r="B26" s="13" t="str">
        <f t="shared" si="0"/>
        <v/>
      </c>
      <c r="C26" s="14" t="str">
        <f>IF(OR(A26="",$B$2=""),"", 22)</f>
        <v/>
      </c>
      <c r="D26" s="15"/>
      <c r="E26" s="14"/>
      <c r="F26" s="13"/>
      <c r="G26" s="14"/>
      <c r="H26" s="14"/>
      <c r="I26" s="14"/>
      <c r="J26" s="14"/>
      <c r="K26" s="14"/>
      <c r="L26" s="16"/>
      <c r="M26" s="16"/>
    </row>
    <row r="27" spans="1:13" x14ac:dyDescent="0.25">
      <c r="A27" s="12"/>
      <c r="B27" s="13" t="str">
        <f t="shared" si="0"/>
        <v/>
      </c>
      <c r="C27" s="14" t="str">
        <f>IF(OR(A27="",$B$2=""),"", 23)</f>
        <v/>
      </c>
      <c r="D27" s="15"/>
      <c r="E27" s="14"/>
      <c r="F27" s="13"/>
      <c r="G27" s="14"/>
      <c r="H27" s="14"/>
      <c r="I27" s="14"/>
      <c r="J27" s="14"/>
      <c r="K27" s="14"/>
      <c r="L27" s="16"/>
      <c r="M27" s="16"/>
    </row>
    <row r="28" spans="1:13" x14ac:dyDescent="0.25">
      <c r="A28" s="12"/>
      <c r="B28" s="13" t="str">
        <f t="shared" si="0"/>
        <v/>
      </c>
      <c r="C28" s="14" t="str">
        <f>IF(OR(A28="",$B$2=""),"", 24)</f>
        <v/>
      </c>
      <c r="D28" s="15"/>
      <c r="E28" s="14"/>
      <c r="F28" s="13"/>
      <c r="G28" s="14"/>
      <c r="H28" s="14"/>
      <c r="I28" s="14"/>
      <c r="J28" s="14"/>
      <c r="K28" s="14"/>
      <c r="L28" s="16"/>
      <c r="M28" s="16"/>
    </row>
    <row r="29" spans="1:13" x14ac:dyDescent="0.25">
      <c r="A29" s="12"/>
      <c r="B29" s="13" t="str">
        <f t="shared" si="0"/>
        <v/>
      </c>
      <c r="C29" s="14" t="str">
        <f>IF(OR(A29="",$B$2=""),"", 25)</f>
        <v/>
      </c>
      <c r="D29" s="15"/>
      <c r="E29" s="14"/>
      <c r="F29" s="13"/>
      <c r="G29" s="14"/>
      <c r="H29" s="14"/>
      <c r="I29" s="14"/>
      <c r="J29" s="14"/>
      <c r="K29" s="14"/>
      <c r="L29" s="16"/>
      <c r="M29" s="16"/>
    </row>
    <row r="30" spans="1:13" x14ac:dyDescent="0.25">
      <c r="A30" s="12"/>
      <c r="B30" s="13" t="str">
        <f t="shared" si="0"/>
        <v/>
      </c>
      <c r="C30" s="14" t="str">
        <f>IF(OR(A30="",$B$2=""),"", 26)</f>
        <v/>
      </c>
      <c r="D30" s="15"/>
      <c r="E30" s="14"/>
      <c r="F30" s="13"/>
      <c r="G30" s="14"/>
      <c r="H30" s="14"/>
      <c r="I30" s="14"/>
      <c r="J30" s="14"/>
      <c r="K30" s="14"/>
      <c r="L30" s="16"/>
      <c r="M30" s="16"/>
    </row>
    <row r="31" spans="1:13" x14ac:dyDescent="0.25">
      <c r="A31" s="12"/>
      <c r="B31" s="13" t="str">
        <f t="shared" si="0"/>
        <v/>
      </c>
      <c r="C31" s="14" t="str">
        <f>IF(OR(A31="",$B$2=""),"", 27)</f>
        <v/>
      </c>
      <c r="D31" s="15"/>
      <c r="E31" s="14"/>
      <c r="F31" s="13"/>
      <c r="G31" s="14"/>
      <c r="H31" s="14"/>
      <c r="I31" s="14"/>
      <c r="J31" s="14"/>
      <c r="K31" s="14"/>
      <c r="L31" s="16"/>
      <c r="M31" s="16"/>
    </row>
    <row r="32" spans="1:13" x14ac:dyDescent="0.25">
      <c r="A32" s="12"/>
      <c r="B32" s="13" t="str">
        <f t="shared" si="0"/>
        <v/>
      </c>
      <c r="C32" s="14" t="str">
        <f>IF(OR(A32="",$B$2=""),"", 28)</f>
        <v/>
      </c>
      <c r="D32" s="15"/>
      <c r="E32" s="14"/>
      <c r="F32" s="13"/>
      <c r="G32" s="14"/>
      <c r="H32" s="14"/>
      <c r="I32" s="14"/>
      <c r="J32" s="14"/>
      <c r="K32" s="14"/>
      <c r="L32" s="16"/>
      <c r="M32" s="16"/>
    </row>
    <row r="33" spans="1:13" x14ac:dyDescent="0.25">
      <c r="A33" s="12"/>
      <c r="B33" s="13" t="str">
        <f t="shared" si="0"/>
        <v/>
      </c>
      <c r="C33" s="14" t="str">
        <f>IF(OR(A33="",$B$2=""),"", 29)</f>
        <v/>
      </c>
      <c r="D33" s="15"/>
      <c r="E33" s="14"/>
      <c r="F33" s="13"/>
      <c r="G33" s="14"/>
      <c r="H33" s="14"/>
      <c r="I33" s="14"/>
      <c r="J33" s="14"/>
      <c r="K33" s="14"/>
      <c r="L33" s="16"/>
      <c r="M33" s="16"/>
    </row>
    <row r="34" spans="1:13" x14ac:dyDescent="0.25">
      <c r="A34" s="12"/>
      <c r="B34" s="13" t="str">
        <f t="shared" si="0"/>
        <v/>
      </c>
      <c r="C34" s="14" t="str">
        <f>IF(OR(A34="",$B$2=""),"", 30)</f>
        <v/>
      </c>
      <c r="D34" s="15"/>
      <c r="E34" s="14"/>
      <c r="F34" s="13"/>
      <c r="G34" s="14"/>
      <c r="H34" s="14"/>
      <c r="I34" s="14"/>
      <c r="J34" s="14"/>
      <c r="K34" s="14"/>
      <c r="L34" s="16"/>
      <c r="M34" s="16"/>
    </row>
    <row r="35" spans="1:13" x14ac:dyDescent="0.25">
      <c r="A35" s="12"/>
      <c r="B35" s="13" t="str">
        <f t="shared" si="0"/>
        <v/>
      </c>
      <c r="C35" s="14" t="str">
        <f>IF(OR(A35="",$B$2=""),"", 31)</f>
        <v/>
      </c>
      <c r="D35" s="15"/>
      <c r="E35" s="14"/>
      <c r="F35" s="13"/>
      <c r="G35" s="14"/>
      <c r="H35" s="14"/>
      <c r="I35" s="14"/>
      <c r="J35" s="14"/>
      <c r="K35" s="14"/>
      <c r="L35" s="16"/>
      <c r="M35" s="16"/>
    </row>
    <row r="36" spans="1:13" x14ac:dyDescent="0.25">
      <c r="A36" s="12"/>
      <c r="B36" s="13" t="str">
        <f t="shared" si="0"/>
        <v/>
      </c>
      <c r="C36" s="14" t="str">
        <f>IF(OR(A36="",$B$2=""),"", 32)</f>
        <v/>
      </c>
      <c r="D36" s="15"/>
      <c r="E36" s="14"/>
      <c r="F36" s="13"/>
      <c r="G36" s="14"/>
      <c r="H36" s="14"/>
      <c r="I36" s="14"/>
      <c r="J36" s="14"/>
      <c r="K36" s="14"/>
      <c r="L36" s="16"/>
      <c r="M36" s="16"/>
    </row>
    <row r="37" spans="1:13" x14ac:dyDescent="0.25">
      <c r="A37" s="12"/>
      <c r="B37" s="13" t="str">
        <f t="shared" si="0"/>
        <v/>
      </c>
      <c r="C37" s="14" t="str">
        <f>IF(OR(A37="",$B$2=""),"", 33)</f>
        <v/>
      </c>
      <c r="D37" s="15"/>
      <c r="E37" s="14"/>
      <c r="F37" s="13"/>
      <c r="G37" s="14"/>
      <c r="H37" s="14"/>
      <c r="I37" s="14"/>
      <c r="J37" s="14"/>
      <c r="K37" s="14"/>
      <c r="L37" s="16"/>
      <c r="M37" s="16"/>
    </row>
    <row r="38" spans="1:13" x14ac:dyDescent="0.25">
      <c r="A38" s="12"/>
      <c r="B38" s="13" t="str">
        <f t="shared" si="0"/>
        <v/>
      </c>
      <c r="C38" s="14" t="str">
        <f>IF(OR(A38="",$B$2=""),"", 34)</f>
        <v/>
      </c>
      <c r="D38" s="15"/>
      <c r="E38" s="14"/>
      <c r="F38" s="13"/>
      <c r="G38" s="14"/>
      <c r="H38" s="14"/>
      <c r="I38" s="14"/>
      <c r="J38" s="14"/>
      <c r="K38" s="14"/>
      <c r="L38" s="16"/>
      <c r="M38" s="16"/>
    </row>
    <row r="39" spans="1:13" x14ac:dyDescent="0.25">
      <c r="A39" s="12"/>
      <c r="B39" s="13" t="str">
        <f t="shared" si="0"/>
        <v/>
      </c>
      <c r="C39" s="14" t="str">
        <f>IF(OR(A39="",$B$2=""),"", 35)</f>
        <v/>
      </c>
      <c r="D39" s="15"/>
      <c r="E39" s="14"/>
      <c r="F39" s="13"/>
      <c r="G39" s="14"/>
      <c r="H39" s="14"/>
      <c r="I39" s="14"/>
      <c r="J39" s="14"/>
      <c r="K39" s="14"/>
      <c r="L39" s="16"/>
      <c r="M39" s="16"/>
    </row>
    <row r="40" spans="1:13" x14ac:dyDescent="0.25">
      <c r="A40" s="12"/>
      <c r="B40" s="13" t="str">
        <f t="shared" si="0"/>
        <v/>
      </c>
      <c r="C40" s="14" t="str">
        <f>IF(OR(A40="",$B$2=""),"", 36)</f>
        <v/>
      </c>
      <c r="D40" s="15"/>
      <c r="E40" s="14"/>
      <c r="F40" s="13"/>
      <c r="G40" s="14"/>
      <c r="H40" s="14"/>
      <c r="I40" s="14"/>
      <c r="J40" s="14"/>
      <c r="K40" s="14"/>
      <c r="L40" s="16"/>
      <c r="M40" s="16"/>
    </row>
    <row r="41" spans="1:13" x14ac:dyDescent="0.25">
      <c r="A41" s="12"/>
      <c r="B41" s="13" t="str">
        <f t="shared" si="0"/>
        <v/>
      </c>
      <c r="C41" s="14" t="str">
        <f>IF(OR(A41="",$B$2=""),"", 37)</f>
        <v/>
      </c>
      <c r="D41" s="15"/>
      <c r="E41" s="14"/>
      <c r="F41" s="13"/>
      <c r="G41" s="14"/>
      <c r="H41" s="14"/>
      <c r="I41" s="14"/>
      <c r="J41" s="14"/>
      <c r="K41" s="14"/>
      <c r="L41" s="16"/>
      <c r="M41" s="16"/>
    </row>
    <row r="42" spans="1:13" x14ac:dyDescent="0.25">
      <c r="A42" s="12"/>
      <c r="B42" s="13" t="str">
        <f t="shared" si="0"/>
        <v/>
      </c>
      <c r="C42" s="14" t="str">
        <f>IF(OR(A42="",$B$2=""),"", 38)</f>
        <v/>
      </c>
      <c r="D42" s="15"/>
      <c r="E42" s="14"/>
      <c r="F42" s="13"/>
      <c r="G42" s="14"/>
      <c r="H42" s="14"/>
      <c r="I42" s="14"/>
      <c r="J42" s="14"/>
      <c r="K42" s="14"/>
      <c r="L42" s="16"/>
      <c r="M42" s="16"/>
    </row>
    <row r="43" spans="1:13" x14ac:dyDescent="0.25">
      <c r="A43" s="12"/>
      <c r="B43" s="13" t="str">
        <f t="shared" si="0"/>
        <v/>
      </c>
      <c r="C43" s="14" t="str">
        <f>IF(OR(A43="",$B$2=""),"", 39)</f>
        <v/>
      </c>
      <c r="D43" s="15"/>
      <c r="E43" s="14"/>
      <c r="F43" s="13"/>
      <c r="G43" s="14"/>
      <c r="H43" s="14"/>
      <c r="I43" s="14"/>
      <c r="J43" s="14"/>
      <c r="K43" s="14"/>
      <c r="L43" s="16"/>
      <c r="M43" s="16"/>
    </row>
    <row r="44" spans="1:13" x14ac:dyDescent="0.25">
      <c r="A44" s="12"/>
      <c r="B44" s="13" t="str">
        <f t="shared" si="0"/>
        <v/>
      </c>
      <c r="C44" s="14" t="str">
        <f>IF(OR(A44="",$B$2=""),"", 40)</f>
        <v/>
      </c>
      <c r="D44" s="15"/>
      <c r="E44" s="14"/>
      <c r="F44" s="13"/>
      <c r="G44" s="14"/>
      <c r="H44" s="14"/>
      <c r="I44" s="14"/>
      <c r="J44" s="14"/>
      <c r="K44" s="14"/>
      <c r="L44" s="16"/>
      <c r="M44" s="16"/>
    </row>
    <row r="45" spans="1:13" x14ac:dyDescent="0.25">
      <c r="A45" s="12"/>
      <c r="B45" s="13" t="str">
        <f t="shared" si="0"/>
        <v/>
      </c>
      <c r="C45" s="14" t="str">
        <f>IF(OR(A45="",$B$2=""),"", 41)</f>
        <v/>
      </c>
      <c r="D45" s="15"/>
      <c r="E45" s="14"/>
      <c r="F45" s="13"/>
      <c r="G45" s="14"/>
      <c r="H45" s="14"/>
      <c r="I45" s="14"/>
      <c r="J45" s="14"/>
      <c r="K45" s="14"/>
      <c r="L45" s="16"/>
      <c r="M45" s="16"/>
    </row>
    <row r="46" spans="1:13" x14ac:dyDescent="0.25">
      <c r="A46" s="12"/>
      <c r="B46" s="13" t="str">
        <f t="shared" si="0"/>
        <v/>
      </c>
      <c r="C46" s="14" t="str">
        <f>IF(OR(A46="",$B$2=""),"", 42)</f>
        <v/>
      </c>
      <c r="D46" s="15"/>
      <c r="E46" s="14"/>
      <c r="F46" s="13"/>
      <c r="G46" s="14"/>
      <c r="H46" s="14"/>
      <c r="I46" s="14"/>
      <c r="J46" s="14"/>
      <c r="K46" s="14"/>
      <c r="L46" s="16"/>
      <c r="M46" s="16"/>
    </row>
    <row r="47" spans="1:13" x14ac:dyDescent="0.25">
      <c r="A47" s="12"/>
      <c r="B47" s="13" t="str">
        <f t="shared" si="0"/>
        <v/>
      </c>
      <c r="C47" s="14" t="str">
        <f>IF(OR(A47="",$B$2=""),"", 43)</f>
        <v/>
      </c>
      <c r="D47" s="15"/>
      <c r="E47" s="14"/>
      <c r="F47" s="13"/>
      <c r="G47" s="14"/>
      <c r="H47" s="14"/>
      <c r="I47" s="14"/>
      <c r="J47" s="14"/>
      <c r="K47" s="14"/>
      <c r="L47" s="16"/>
      <c r="M47" s="16"/>
    </row>
    <row r="48" spans="1:13" x14ac:dyDescent="0.25">
      <c r="A48" s="12"/>
      <c r="B48" s="13" t="str">
        <f t="shared" si="0"/>
        <v/>
      </c>
      <c r="C48" s="14" t="str">
        <f>IF(OR(A48="",$B$2=""),"", 44)</f>
        <v/>
      </c>
      <c r="D48" s="15"/>
      <c r="E48" s="14"/>
      <c r="F48" s="13"/>
      <c r="G48" s="14"/>
      <c r="H48" s="14"/>
      <c r="I48" s="14"/>
      <c r="J48" s="14"/>
      <c r="K48" s="14"/>
      <c r="L48" s="16"/>
      <c r="M48" s="16"/>
    </row>
    <row r="49" spans="1:13" x14ac:dyDescent="0.25">
      <c r="A49" s="12"/>
      <c r="B49" s="13" t="str">
        <f t="shared" si="0"/>
        <v/>
      </c>
      <c r="C49" s="14" t="str">
        <f>IF(OR(A49="",$B$2=""),"", 45)</f>
        <v/>
      </c>
      <c r="D49" s="15"/>
      <c r="E49" s="14"/>
      <c r="F49" s="13"/>
      <c r="G49" s="14"/>
      <c r="H49" s="14"/>
      <c r="I49" s="14"/>
      <c r="J49" s="14"/>
      <c r="K49" s="14"/>
      <c r="L49" s="16"/>
      <c r="M49" s="16"/>
    </row>
    <row r="50" spans="1:13" x14ac:dyDescent="0.25">
      <c r="A50" s="12"/>
      <c r="B50" s="13" t="str">
        <f t="shared" si="0"/>
        <v/>
      </c>
      <c r="C50" s="14" t="str">
        <f>IF(OR(A50="",$B$2=""),"", 46)</f>
        <v/>
      </c>
      <c r="D50" s="15"/>
      <c r="E50" s="14"/>
      <c r="F50" s="13"/>
      <c r="G50" s="14"/>
      <c r="H50" s="14"/>
      <c r="I50" s="14"/>
      <c r="J50" s="14"/>
      <c r="K50" s="14"/>
      <c r="L50" s="16"/>
      <c r="M50" s="16"/>
    </row>
    <row r="51" spans="1:13" x14ac:dyDescent="0.25">
      <c r="A51" s="12"/>
      <c r="B51" s="13" t="str">
        <f t="shared" si="0"/>
        <v/>
      </c>
      <c r="C51" s="14" t="str">
        <f>IF(OR(A51="",$B$2=""),"", 47)</f>
        <v/>
      </c>
      <c r="D51" s="15"/>
      <c r="E51" s="14"/>
      <c r="F51" s="13"/>
      <c r="G51" s="14"/>
      <c r="H51" s="14"/>
      <c r="I51" s="14"/>
      <c r="J51" s="14"/>
      <c r="K51" s="14"/>
      <c r="L51" s="16"/>
      <c r="M51" s="16"/>
    </row>
    <row r="52" spans="1:13" x14ac:dyDescent="0.25">
      <c r="A52" s="12"/>
      <c r="B52" s="13" t="str">
        <f t="shared" si="0"/>
        <v/>
      </c>
      <c r="C52" s="14" t="str">
        <f>IF(OR(A52="",$B$2=""),"", 48)</f>
        <v/>
      </c>
      <c r="D52" s="15"/>
      <c r="E52" s="14"/>
      <c r="F52" s="13"/>
      <c r="G52" s="14"/>
      <c r="H52" s="14"/>
      <c r="I52" s="14"/>
      <c r="J52" s="14"/>
      <c r="K52" s="14"/>
      <c r="L52" s="16"/>
      <c r="M52" s="16"/>
    </row>
    <row r="53" spans="1:13" x14ac:dyDescent="0.25">
      <c r="A53" s="12"/>
      <c r="B53" s="13" t="str">
        <f t="shared" si="0"/>
        <v/>
      </c>
      <c r="C53" s="14" t="str">
        <f>IF(OR(A53="",$B$2=""),"", 49)</f>
        <v/>
      </c>
      <c r="D53" s="15"/>
      <c r="E53" s="14"/>
      <c r="F53" s="13"/>
      <c r="G53" s="14"/>
      <c r="H53" s="14"/>
      <c r="I53" s="14"/>
      <c r="J53" s="14"/>
      <c r="K53" s="14"/>
      <c r="L53" s="16"/>
      <c r="M53" s="16"/>
    </row>
    <row r="54" spans="1:13" x14ac:dyDescent="0.25">
      <c r="A54" s="12"/>
      <c r="B54" s="13" t="str">
        <f t="shared" si="0"/>
        <v/>
      </c>
      <c r="C54" s="14" t="str">
        <f>IF(OR(A54="",$B$2=""),"", 50)</f>
        <v/>
      </c>
      <c r="D54" s="15"/>
      <c r="E54" s="14"/>
      <c r="F54" s="13"/>
      <c r="G54" s="14"/>
      <c r="H54" s="14"/>
      <c r="I54" s="14"/>
      <c r="J54" s="14"/>
      <c r="K54" s="14"/>
      <c r="L54" s="16"/>
      <c r="M54" s="16"/>
    </row>
    <row r="55" spans="1:13" x14ac:dyDescent="0.25">
      <c r="A55" s="12"/>
      <c r="B55" s="13" t="str">
        <f t="shared" si="0"/>
        <v/>
      </c>
      <c r="C55" s="14" t="str">
        <f>IF(OR(A55="",$B$2=""),"", 51)</f>
        <v/>
      </c>
      <c r="D55" s="15"/>
      <c r="E55" s="14"/>
      <c r="F55" s="13"/>
      <c r="G55" s="14"/>
      <c r="H55" s="14"/>
      <c r="I55" s="14"/>
      <c r="J55" s="14"/>
      <c r="K55" s="14"/>
      <c r="L55" s="16"/>
      <c r="M55" s="16"/>
    </row>
    <row r="56" spans="1:13" x14ac:dyDescent="0.25">
      <c r="A56" s="12"/>
      <c r="B56" s="13" t="str">
        <f t="shared" si="0"/>
        <v/>
      </c>
      <c r="C56" s="14" t="str">
        <f>IF(OR(A56="",$B$2=""),"", 52)</f>
        <v/>
      </c>
      <c r="D56" s="15"/>
      <c r="E56" s="14"/>
      <c r="F56" s="13"/>
      <c r="G56" s="14"/>
      <c r="H56" s="14"/>
      <c r="I56" s="14"/>
      <c r="J56" s="14"/>
      <c r="K56" s="14"/>
      <c r="L56" s="16"/>
      <c r="M56" s="16"/>
    </row>
    <row r="57" spans="1:13" x14ac:dyDescent="0.25">
      <c r="A57" s="12"/>
      <c r="B57" s="13" t="str">
        <f t="shared" si="0"/>
        <v/>
      </c>
      <c r="C57" s="14" t="str">
        <f>IF(OR(A57="",$B$2=""),"", 53)</f>
        <v/>
      </c>
      <c r="D57" s="15"/>
      <c r="E57" s="14"/>
      <c r="F57" s="13"/>
      <c r="G57" s="14"/>
      <c r="H57" s="14"/>
      <c r="I57" s="14"/>
      <c r="J57" s="14"/>
      <c r="K57" s="14"/>
      <c r="L57" s="16"/>
      <c r="M57" s="16"/>
    </row>
    <row r="58" spans="1:13" x14ac:dyDescent="0.25">
      <c r="A58" s="12"/>
      <c r="B58" s="13" t="str">
        <f t="shared" si="0"/>
        <v/>
      </c>
      <c r="C58" s="14" t="str">
        <f>IF(OR(A58="",$B$2=""),"", 54)</f>
        <v/>
      </c>
      <c r="D58" s="15"/>
      <c r="E58" s="14"/>
      <c r="F58" s="13"/>
      <c r="G58" s="14"/>
      <c r="H58" s="14"/>
      <c r="I58" s="14"/>
      <c r="J58" s="14"/>
      <c r="K58" s="14"/>
      <c r="L58" s="16"/>
      <c r="M58" s="16"/>
    </row>
    <row r="59" spans="1:13" x14ac:dyDescent="0.25">
      <c r="A59" s="12"/>
      <c r="B59" s="13" t="str">
        <f t="shared" si="0"/>
        <v/>
      </c>
      <c r="C59" s="14" t="str">
        <f>IF(OR(A59="",$B$2=""),"", 55)</f>
        <v/>
      </c>
      <c r="D59" s="15"/>
      <c r="E59" s="14"/>
      <c r="F59" s="13"/>
      <c r="G59" s="14"/>
      <c r="H59" s="14"/>
      <c r="I59" s="14"/>
      <c r="J59" s="14"/>
      <c r="K59" s="14"/>
      <c r="L59" s="16"/>
      <c r="M59" s="16"/>
    </row>
    <row r="60" spans="1:13" x14ac:dyDescent="0.25">
      <c r="A60" s="12"/>
      <c r="B60" s="13" t="str">
        <f t="shared" si="0"/>
        <v/>
      </c>
      <c r="C60" s="14" t="str">
        <f>IF(OR(A60="",$B$2=""),"", 56)</f>
        <v/>
      </c>
      <c r="D60" s="15"/>
      <c r="E60" s="14"/>
      <c r="F60" s="13"/>
      <c r="G60" s="14"/>
      <c r="H60" s="14"/>
      <c r="I60" s="14"/>
      <c r="J60" s="14"/>
      <c r="K60" s="14"/>
      <c r="L60" s="16"/>
      <c r="M60" s="16"/>
    </row>
    <row r="61" spans="1:13" x14ac:dyDescent="0.25">
      <c r="A61" s="12"/>
      <c r="B61" s="13" t="str">
        <f t="shared" si="0"/>
        <v/>
      </c>
      <c r="C61" s="14" t="str">
        <f>IF(OR(A61="",$B$2=""),"", 57)</f>
        <v/>
      </c>
      <c r="D61" s="15"/>
      <c r="E61" s="14"/>
      <c r="F61" s="13"/>
      <c r="G61" s="14"/>
      <c r="H61" s="14"/>
      <c r="I61" s="14"/>
      <c r="J61" s="14"/>
      <c r="K61" s="14"/>
      <c r="L61" s="16"/>
      <c r="M61" s="16"/>
    </row>
    <row r="62" spans="1:13" x14ac:dyDescent="0.25">
      <c r="A62" s="12"/>
      <c r="B62" s="13" t="str">
        <f t="shared" si="0"/>
        <v/>
      </c>
      <c r="C62" s="14" t="str">
        <f>IF(OR(A62="",$B$2=""),"", 58)</f>
        <v/>
      </c>
      <c r="D62" s="15"/>
      <c r="E62" s="14"/>
      <c r="F62" s="13"/>
      <c r="G62" s="14"/>
      <c r="H62" s="14"/>
      <c r="I62" s="14"/>
      <c r="J62" s="14"/>
      <c r="K62" s="14"/>
      <c r="L62" s="16"/>
      <c r="M62" s="16"/>
    </row>
    <row r="63" spans="1:13" x14ac:dyDescent="0.25">
      <c r="A63" s="12"/>
      <c r="B63" s="13" t="str">
        <f t="shared" si="0"/>
        <v/>
      </c>
      <c r="C63" s="14" t="str">
        <f>IF(OR(A63="",$B$2=""),"", 59)</f>
        <v/>
      </c>
      <c r="D63" s="15"/>
      <c r="E63" s="14"/>
      <c r="F63" s="13"/>
      <c r="G63" s="14"/>
      <c r="H63" s="14"/>
      <c r="I63" s="14"/>
      <c r="J63" s="14"/>
      <c r="K63" s="14"/>
      <c r="L63" s="16"/>
      <c r="M63" s="16"/>
    </row>
    <row r="64" spans="1:13" x14ac:dyDescent="0.25">
      <c r="A64" s="12"/>
      <c r="B64" s="13" t="str">
        <f t="shared" si="0"/>
        <v/>
      </c>
      <c r="C64" s="14" t="str">
        <f>IF(OR(A64="",$B$2=""),"", 60)</f>
        <v/>
      </c>
      <c r="D64" s="15"/>
      <c r="E64" s="14"/>
      <c r="F64" s="13"/>
      <c r="G64" s="14"/>
      <c r="H64" s="14"/>
      <c r="I64" s="14"/>
      <c r="J64" s="14"/>
      <c r="K64" s="14"/>
      <c r="L64" s="16"/>
      <c r="M64" s="16"/>
    </row>
    <row r="65" spans="1:13" x14ac:dyDescent="0.25">
      <c r="A65" s="12"/>
      <c r="B65" s="13" t="str">
        <f t="shared" si="0"/>
        <v/>
      </c>
      <c r="C65" s="14" t="str">
        <f>IF(OR(A65="",$B$2=""),"", 61)</f>
        <v/>
      </c>
      <c r="D65" s="15"/>
      <c r="E65" s="14"/>
      <c r="F65" s="13"/>
      <c r="G65" s="14"/>
      <c r="H65" s="14"/>
      <c r="I65" s="14"/>
      <c r="J65" s="14"/>
      <c r="K65" s="14"/>
      <c r="L65" s="16"/>
      <c r="M65" s="16"/>
    </row>
    <row r="66" spans="1:13" x14ac:dyDescent="0.25">
      <c r="A66" s="12"/>
      <c r="B66" s="13" t="str">
        <f t="shared" si="0"/>
        <v/>
      </c>
      <c r="C66" s="14" t="str">
        <f>IF(OR(A66="",$B$2=""),"", 62)</f>
        <v/>
      </c>
      <c r="D66" s="15"/>
      <c r="E66" s="14"/>
      <c r="F66" s="13"/>
      <c r="G66" s="14"/>
      <c r="H66" s="14"/>
      <c r="I66" s="14"/>
      <c r="J66" s="14"/>
      <c r="K66" s="14"/>
      <c r="L66" s="16"/>
      <c r="M66" s="16"/>
    </row>
    <row r="67" spans="1:13" x14ac:dyDescent="0.25">
      <c r="A67" s="12"/>
      <c r="B67" s="13" t="str">
        <f t="shared" si="0"/>
        <v/>
      </c>
      <c r="C67" s="14" t="str">
        <f>IF(OR(A67="",$B$2=""),"", 63)</f>
        <v/>
      </c>
      <c r="D67" s="15"/>
      <c r="E67" s="14"/>
      <c r="F67" s="13"/>
      <c r="G67" s="14"/>
      <c r="H67" s="14"/>
      <c r="I67" s="14"/>
      <c r="J67" s="14"/>
      <c r="K67" s="14"/>
      <c r="L67" s="16"/>
      <c r="M67" s="16"/>
    </row>
    <row r="68" spans="1:13" x14ac:dyDescent="0.25">
      <c r="A68" s="12"/>
      <c r="B68" s="13" t="str">
        <f t="shared" si="0"/>
        <v/>
      </c>
      <c r="C68" s="14" t="str">
        <f>IF(OR(A68="",$B$2=""),"", 64)</f>
        <v/>
      </c>
      <c r="D68" s="15"/>
      <c r="E68" s="14"/>
      <c r="F68" s="13"/>
      <c r="G68" s="14"/>
      <c r="H68" s="14"/>
      <c r="I68" s="14"/>
      <c r="J68" s="14"/>
      <c r="K68" s="14"/>
      <c r="L68" s="16"/>
      <c r="M68" s="16"/>
    </row>
    <row r="69" spans="1:13" x14ac:dyDescent="0.25">
      <c r="A69" s="12"/>
      <c r="B69" s="13" t="str">
        <f t="shared" si="0"/>
        <v/>
      </c>
      <c r="C69" s="14" t="str">
        <f>IF(OR(A69="",$B$2=""),"", 65)</f>
        <v/>
      </c>
      <c r="D69" s="15"/>
      <c r="E69" s="14"/>
      <c r="F69" s="13"/>
      <c r="G69" s="14"/>
      <c r="H69" s="14"/>
      <c r="I69" s="14"/>
      <c r="J69" s="14"/>
      <c r="K69" s="14"/>
      <c r="L69" s="16"/>
      <c r="M69" s="16"/>
    </row>
    <row r="70" spans="1:13" x14ac:dyDescent="0.25">
      <c r="A70" s="12"/>
      <c r="B70" s="13" t="str">
        <f t="shared" si="0"/>
        <v/>
      </c>
      <c r="C70" s="14" t="str">
        <f>IF(OR(A70="",$B$2=""),"", 66)</f>
        <v/>
      </c>
      <c r="D70" s="15"/>
      <c r="E70" s="14"/>
      <c r="F70" s="13"/>
      <c r="G70" s="14"/>
      <c r="H70" s="14"/>
      <c r="I70" s="14"/>
      <c r="J70" s="14"/>
      <c r="K70" s="14"/>
      <c r="L70" s="16"/>
      <c r="M70" s="16"/>
    </row>
    <row r="71" spans="1:13" x14ac:dyDescent="0.25">
      <c r="A71" s="12"/>
      <c r="B71" s="13" t="str">
        <f t="shared" si="0"/>
        <v/>
      </c>
      <c r="C71" s="14" t="str">
        <f>IF(OR(A71="",$B$2=""),"", 67)</f>
        <v/>
      </c>
      <c r="D71" s="15"/>
      <c r="E71" s="14"/>
      <c r="F71" s="13"/>
      <c r="G71" s="14"/>
      <c r="H71" s="14"/>
      <c r="I71" s="14"/>
      <c r="J71" s="14"/>
      <c r="K71" s="14"/>
      <c r="L71" s="16"/>
      <c r="M71" s="16"/>
    </row>
    <row r="72" spans="1:13" x14ac:dyDescent="0.25">
      <c r="A72" s="12"/>
      <c r="B72" s="13" t="str">
        <f t="shared" si="0"/>
        <v/>
      </c>
      <c r="C72" s="14" t="str">
        <f>IF(OR(A72="",$B$2=""),"", 68)</f>
        <v/>
      </c>
      <c r="D72" s="15"/>
      <c r="E72" s="14"/>
      <c r="F72" s="13"/>
      <c r="G72" s="14"/>
      <c r="H72" s="14"/>
      <c r="I72" s="14"/>
      <c r="J72" s="14"/>
      <c r="K72" s="14"/>
      <c r="L72" s="16"/>
      <c r="M72" s="16"/>
    </row>
    <row r="73" spans="1:13" x14ac:dyDescent="0.25">
      <c r="A73" s="12"/>
      <c r="B73" s="13" t="str">
        <f t="shared" si="0"/>
        <v/>
      </c>
      <c r="C73" s="14" t="str">
        <f>IF(OR(A73="",$B$2=""),"", 69)</f>
        <v/>
      </c>
      <c r="D73" s="15"/>
      <c r="E73" s="14"/>
      <c r="F73" s="13"/>
      <c r="G73" s="14"/>
      <c r="H73" s="14"/>
      <c r="I73" s="14"/>
      <c r="J73" s="14"/>
      <c r="K73" s="14"/>
      <c r="L73" s="16"/>
      <c r="M73" s="16"/>
    </row>
    <row r="74" spans="1:13" x14ac:dyDescent="0.25">
      <c r="A74" s="12"/>
      <c r="B74" s="13" t="str">
        <f t="shared" si="0"/>
        <v/>
      </c>
      <c r="C74" s="14" t="str">
        <f>IF(OR(A74="",$B$2=""),"", 70)</f>
        <v/>
      </c>
      <c r="D74" s="15"/>
      <c r="E74" s="14"/>
      <c r="F74" s="13"/>
      <c r="G74" s="14"/>
      <c r="H74" s="14"/>
      <c r="I74" s="14"/>
      <c r="J74" s="14"/>
      <c r="K74" s="14"/>
      <c r="L74" s="16"/>
      <c r="M74" s="16"/>
    </row>
    <row r="75" spans="1:13" x14ac:dyDescent="0.25">
      <c r="A75" s="12"/>
      <c r="B75" s="13" t="str">
        <f t="shared" si="0"/>
        <v/>
      </c>
      <c r="C75" s="14" t="str">
        <f>IF(OR(A75="",$B$2=""),"", 71)</f>
        <v/>
      </c>
      <c r="D75" s="15"/>
      <c r="E75" s="14"/>
      <c r="F75" s="13"/>
      <c r="G75" s="14"/>
      <c r="H75" s="14"/>
      <c r="I75" s="14"/>
      <c r="J75" s="14"/>
      <c r="K75" s="14"/>
      <c r="L75" s="16"/>
      <c r="M75" s="16"/>
    </row>
    <row r="76" spans="1:13" x14ac:dyDescent="0.25">
      <c r="A76" s="12"/>
      <c r="B76" s="13" t="str">
        <f t="shared" si="0"/>
        <v/>
      </c>
      <c r="C76" s="14" t="str">
        <f>IF(OR(A76="",$B$2=""),"", 72)</f>
        <v/>
      </c>
      <c r="D76" s="15"/>
      <c r="E76" s="14"/>
      <c r="F76" s="13"/>
      <c r="G76" s="14"/>
      <c r="H76" s="14"/>
      <c r="I76" s="14"/>
      <c r="J76" s="14"/>
      <c r="K76" s="14"/>
      <c r="L76" s="16"/>
      <c r="M76" s="16"/>
    </row>
    <row r="77" spans="1:13" x14ac:dyDescent="0.25">
      <c r="A77" s="12"/>
      <c r="B77" s="13" t="str">
        <f t="shared" si="0"/>
        <v/>
      </c>
      <c r="C77" s="14" t="str">
        <f>IF(OR(A77="",$B$2=""),"", 73)</f>
        <v/>
      </c>
      <c r="D77" s="15"/>
      <c r="E77" s="14"/>
      <c r="F77" s="13"/>
      <c r="G77" s="14"/>
      <c r="H77" s="14"/>
      <c r="I77" s="14"/>
      <c r="J77" s="14"/>
      <c r="K77" s="14"/>
      <c r="L77" s="16"/>
      <c r="M77" s="16"/>
    </row>
    <row r="78" spans="1:13" x14ac:dyDescent="0.25">
      <c r="A78" s="12"/>
      <c r="B78" s="13" t="str">
        <f t="shared" si="0"/>
        <v/>
      </c>
      <c r="C78" s="14" t="str">
        <f>IF(OR(A78="",$B$2=""),"", 74)</f>
        <v/>
      </c>
      <c r="D78" s="15"/>
      <c r="E78" s="14"/>
      <c r="F78" s="13"/>
      <c r="G78" s="14"/>
      <c r="H78" s="14"/>
      <c r="I78" s="14"/>
      <c r="J78" s="14"/>
      <c r="K78" s="14"/>
      <c r="L78" s="16"/>
      <c r="M78" s="16"/>
    </row>
    <row r="79" spans="1:13" x14ac:dyDescent="0.25">
      <c r="A79" s="12"/>
      <c r="B79" s="13" t="str">
        <f t="shared" si="0"/>
        <v/>
      </c>
      <c r="C79" s="14" t="str">
        <f>IF(OR(A79="",$B$2=""),"", 75)</f>
        <v/>
      </c>
      <c r="D79" s="15"/>
      <c r="E79" s="14"/>
      <c r="F79" s="13"/>
      <c r="G79" s="14"/>
      <c r="H79" s="14"/>
      <c r="I79" s="14"/>
      <c r="J79" s="14"/>
      <c r="K79" s="14"/>
      <c r="L79" s="16"/>
      <c r="M79" s="16"/>
    </row>
    <row r="80" spans="1:13" x14ac:dyDescent="0.25">
      <c r="A80" s="12"/>
      <c r="B80" s="13" t="str">
        <f t="shared" si="0"/>
        <v/>
      </c>
      <c r="C80" s="14" t="str">
        <f>IF(OR(A80="",$B$2=""),"", 76)</f>
        <v/>
      </c>
      <c r="D80" s="15"/>
      <c r="E80" s="14"/>
      <c r="F80" s="13"/>
      <c r="G80" s="14"/>
      <c r="H80" s="14"/>
      <c r="I80" s="14"/>
      <c r="J80" s="14"/>
      <c r="K80" s="14"/>
      <c r="L80" s="16"/>
      <c r="M80" s="16"/>
    </row>
    <row r="81" spans="1:13" x14ac:dyDescent="0.25">
      <c r="A81" s="12"/>
      <c r="B81" s="13" t="str">
        <f t="shared" si="0"/>
        <v/>
      </c>
      <c r="C81" s="14" t="str">
        <f>IF(OR(A81="",$B$2=""),"", 77)</f>
        <v/>
      </c>
      <c r="D81" s="15"/>
      <c r="E81" s="14"/>
      <c r="F81" s="13"/>
      <c r="G81" s="14"/>
      <c r="H81" s="14"/>
      <c r="I81" s="14"/>
      <c r="J81" s="14"/>
      <c r="K81" s="14"/>
      <c r="L81" s="16"/>
      <c r="M81" s="16"/>
    </row>
    <row r="82" spans="1:13" x14ac:dyDescent="0.25">
      <c r="A82" s="12"/>
      <c r="B82" s="13" t="str">
        <f t="shared" ref="B82:B145" si="1">IF(OR(A82="",$B$2=""),"", (A82-$B$2)*1440)</f>
        <v/>
      </c>
      <c r="C82" s="14" t="str">
        <f>IF(OR(A82="",$B$2=""),"", 78)</f>
        <v/>
      </c>
      <c r="D82" s="15"/>
      <c r="E82" s="14"/>
      <c r="F82" s="13"/>
      <c r="G82" s="14"/>
      <c r="H82" s="14"/>
      <c r="I82" s="14"/>
      <c r="J82" s="14"/>
      <c r="K82" s="14"/>
      <c r="L82" s="16"/>
      <c r="M82" s="16"/>
    </row>
    <row r="83" spans="1:13" x14ac:dyDescent="0.25">
      <c r="A83" s="12"/>
      <c r="B83" s="13" t="str">
        <f t="shared" si="1"/>
        <v/>
      </c>
      <c r="C83" s="14" t="str">
        <f>IF(OR(A83="",$B$2=""),"", 79)</f>
        <v/>
      </c>
      <c r="D83" s="15"/>
      <c r="E83" s="14"/>
      <c r="F83" s="13"/>
      <c r="G83" s="14"/>
      <c r="H83" s="14"/>
      <c r="I83" s="14"/>
      <c r="J83" s="14"/>
      <c r="K83" s="14"/>
      <c r="L83" s="16"/>
      <c r="M83" s="16"/>
    </row>
    <row r="84" spans="1:13" x14ac:dyDescent="0.25">
      <c r="A84" s="12"/>
      <c r="B84" s="13" t="str">
        <f t="shared" si="1"/>
        <v/>
      </c>
      <c r="C84" s="14" t="str">
        <f>IF(OR(A84="",$B$2=""),"", 80)</f>
        <v/>
      </c>
      <c r="D84" s="15"/>
      <c r="E84" s="14"/>
      <c r="F84" s="13"/>
      <c r="G84" s="14"/>
      <c r="H84" s="14"/>
      <c r="I84" s="14"/>
      <c r="J84" s="14"/>
      <c r="K84" s="14"/>
      <c r="L84" s="16"/>
      <c r="M84" s="16"/>
    </row>
    <row r="85" spans="1:13" x14ac:dyDescent="0.25">
      <c r="A85" s="12"/>
      <c r="B85" s="13" t="str">
        <f t="shared" si="1"/>
        <v/>
      </c>
      <c r="C85" s="14" t="str">
        <f>IF(OR(A85="",$B$2=""),"", 81)</f>
        <v/>
      </c>
      <c r="D85" s="15"/>
      <c r="E85" s="14"/>
      <c r="F85" s="13"/>
      <c r="G85" s="14"/>
      <c r="H85" s="14"/>
      <c r="I85" s="14"/>
      <c r="J85" s="14"/>
      <c r="K85" s="14"/>
      <c r="L85" s="16"/>
      <c r="M85" s="16"/>
    </row>
    <row r="86" spans="1:13" x14ac:dyDescent="0.25">
      <c r="A86" s="12"/>
      <c r="B86" s="13" t="str">
        <f t="shared" si="1"/>
        <v/>
      </c>
      <c r="C86" s="14" t="str">
        <f>IF(OR(A86="",$B$2=""),"", 82)</f>
        <v/>
      </c>
      <c r="D86" s="15"/>
      <c r="E86" s="14"/>
      <c r="F86" s="13"/>
      <c r="G86" s="14"/>
      <c r="H86" s="14"/>
      <c r="I86" s="14"/>
      <c r="J86" s="14"/>
      <c r="K86" s="14"/>
      <c r="L86" s="16"/>
      <c r="M86" s="16"/>
    </row>
    <row r="87" spans="1:13" x14ac:dyDescent="0.25">
      <c r="A87" s="12"/>
      <c r="B87" s="13" t="str">
        <f t="shared" si="1"/>
        <v/>
      </c>
      <c r="C87" s="14" t="str">
        <f>IF(OR(A87="",$B$2=""),"", 83)</f>
        <v/>
      </c>
      <c r="D87" s="15"/>
      <c r="E87" s="14"/>
      <c r="F87" s="13"/>
      <c r="G87" s="14"/>
      <c r="H87" s="14"/>
      <c r="I87" s="14"/>
      <c r="J87" s="14"/>
      <c r="K87" s="14"/>
      <c r="L87" s="16"/>
      <c r="M87" s="16"/>
    </row>
    <row r="88" spans="1:13" x14ac:dyDescent="0.25">
      <c r="A88" s="12"/>
      <c r="B88" s="13" t="str">
        <f t="shared" si="1"/>
        <v/>
      </c>
      <c r="C88" s="14" t="str">
        <f>IF(OR(A88="",$B$2=""),"", 84)</f>
        <v/>
      </c>
      <c r="D88" s="15"/>
      <c r="E88" s="14"/>
      <c r="F88" s="13"/>
      <c r="G88" s="14"/>
      <c r="H88" s="14"/>
      <c r="I88" s="14"/>
      <c r="J88" s="14"/>
      <c r="K88" s="14"/>
      <c r="L88" s="16"/>
      <c r="M88" s="16"/>
    </row>
    <row r="89" spans="1:13" x14ac:dyDescent="0.25">
      <c r="A89" s="12"/>
      <c r="B89" s="13" t="str">
        <f t="shared" si="1"/>
        <v/>
      </c>
      <c r="C89" s="14" t="str">
        <f>IF(OR(A89="",$B$2=""),"", 85)</f>
        <v/>
      </c>
      <c r="D89" s="15"/>
      <c r="E89" s="14"/>
      <c r="F89" s="13"/>
      <c r="G89" s="14"/>
      <c r="H89" s="14"/>
      <c r="I89" s="14"/>
      <c r="J89" s="14"/>
      <c r="K89" s="14"/>
      <c r="L89" s="16"/>
      <c r="M89" s="16"/>
    </row>
    <row r="90" spans="1:13" x14ac:dyDescent="0.25">
      <c r="A90" s="12"/>
      <c r="B90" s="13" t="str">
        <f t="shared" si="1"/>
        <v/>
      </c>
      <c r="C90" s="14" t="str">
        <f>IF(OR(A90="",$B$2=""),"", 86)</f>
        <v/>
      </c>
      <c r="D90" s="15"/>
      <c r="E90" s="14"/>
      <c r="F90" s="13"/>
      <c r="G90" s="14"/>
      <c r="H90" s="14"/>
      <c r="I90" s="14"/>
      <c r="J90" s="14"/>
      <c r="K90" s="14"/>
      <c r="L90" s="16"/>
      <c r="M90" s="16"/>
    </row>
    <row r="91" spans="1:13" x14ac:dyDescent="0.25">
      <c r="A91" s="12"/>
      <c r="B91" s="13" t="str">
        <f t="shared" si="1"/>
        <v/>
      </c>
      <c r="C91" s="14" t="str">
        <f>IF(OR(A91="",$B$2=""),"", 87)</f>
        <v/>
      </c>
      <c r="D91" s="15"/>
      <c r="E91" s="14"/>
      <c r="F91" s="13"/>
      <c r="G91" s="14"/>
      <c r="H91" s="14"/>
      <c r="I91" s="14"/>
      <c r="J91" s="14"/>
      <c r="K91" s="14"/>
      <c r="L91" s="16"/>
      <c r="M91" s="16"/>
    </row>
    <row r="92" spans="1:13" x14ac:dyDescent="0.25">
      <c r="A92" s="12"/>
      <c r="B92" s="13" t="str">
        <f t="shared" si="1"/>
        <v/>
      </c>
      <c r="C92" s="14" t="str">
        <f>IF(OR(A92="",$B$2=""),"", 88)</f>
        <v/>
      </c>
      <c r="D92" s="15"/>
      <c r="E92" s="14"/>
      <c r="F92" s="13"/>
      <c r="G92" s="14"/>
      <c r="H92" s="14"/>
      <c r="I92" s="14"/>
      <c r="J92" s="14"/>
      <c r="K92" s="14"/>
      <c r="L92" s="16"/>
      <c r="M92" s="16"/>
    </row>
    <row r="93" spans="1:13" x14ac:dyDescent="0.25">
      <c r="A93" s="12"/>
      <c r="B93" s="13" t="str">
        <f t="shared" si="1"/>
        <v/>
      </c>
      <c r="C93" s="14" t="str">
        <f>IF(OR(A93="",$B$2=""),"", 89)</f>
        <v/>
      </c>
      <c r="D93" s="15"/>
      <c r="E93" s="14"/>
      <c r="F93" s="13"/>
      <c r="G93" s="14"/>
      <c r="H93" s="14"/>
      <c r="I93" s="14"/>
      <c r="J93" s="14"/>
      <c r="K93" s="14"/>
      <c r="L93" s="16"/>
      <c r="M93" s="16"/>
    </row>
    <row r="94" spans="1:13" x14ac:dyDescent="0.25">
      <c r="A94" s="12"/>
      <c r="B94" s="13" t="str">
        <f t="shared" si="1"/>
        <v/>
      </c>
      <c r="C94" s="14" t="str">
        <f>IF(OR(A94="",$B$2=""),"", 90)</f>
        <v/>
      </c>
      <c r="D94" s="15"/>
      <c r="E94" s="14"/>
      <c r="F94" s="13"/>
      <c r="G94" s="14"/>
      <c r="H94" s="14"/>
      <c r="I94" s="14"/>
      <c r="J94" s="14"/>
      <c r="K94" s="14"/>
      <c r="L94" s="16"/>
      <c r="M94" s="16"/>
    </row>
    <row r="95" spans="1:13" x14ac:dyDescent="0.25">
      <c r="A95" s="12"/>
      <c r="B95" s="13" t="str">
        <f t="shared" si="1"/>
        <v/>
      </c>
      <c r="C95" s="14" t="str">
        <f>IF(OR(A95="",$B$2=""),"", 91)</f>
        <v/>
      </c>
      <c r="D95" s="15"/>
      <c r="E95" s="14"/>
      <c r="F95" s="13"/>
      <c r="G95" s="14"/>
      <c r="H95" s="14"/>
      <c r="I95" s="14"/>
      <c r="J95" s="14"/>
      <c r="K95" s="14"/>
      <c r="L95" s="16"/>
      <c r="M95" s="16"/>
    </row>
    <row r="96" spans="1:13" x14ac:dyDescent="0.25">
      <c r="A96" s="12"/>
      <c r="B96" s="13" t="str">
        <f t="shared" si="1"/>
        <v/>
      </c>
      <c r="C96" s="14" t="str">
        <f>IF(OR(A96="",$B$2=""),"", 92)</f>
        <v/>
      </c>
      <c r="D96" s="15"/>
      <c r="E96" s="14"/>
      <c r="F96" s="13"/>
      <c r="G96" s="14"/>
      <c r="H96" s="14"/>
      <c r="I96" s="14"/>
      <c r="J96" s="14"/>
      <c r="K96" s="14"/>
      <c r="L96" s="16"/>
      <c r="M96" s="16"/>
    </row>
    <row r="97" spans="1:13" x14ac:dyDescent="0.25">
      <c r="A97" s="12"/>
      <c r="B97" s="13" t="str">
        <f t="shared" si="1"/>
        <v/>
      </c>
      <c r="C97" s="14" t="str">
        <f>IF(OR(A97="",$B$2=""),"", 93)</f>
        <v/>
      </c>
      <c r="D97" s="15"/>
      <c r="E97" s="14"/>
      <c r="F97" s="13"/>
      <c r="G97" s="14"/>
      <c r="H97" s="14"/>
      <c r="I97" s="14"/>
      <c r="J97" s="14"/>
      <c r="K97" s="14"/>
      <c r="L97" s="16"/>
      <c r="M97" s="16"/>
    </row>
    <row r="98" spans="1:13" x14ac:dyDescent="0.25">
      <c r="A98" s="12"/>
      <c r="B98" s="13" t="str">
        <f t="shared" si="1"/>
        <v/>
      </c>
      <c r="C98" s="14" t="str">
        <f>IF(OR(A98="",$B$2=""),"", 94)</f>
        <v/>
      </c>
      <c r="D98" s="15"/>
      <c r="E98" s="14"/>
      <c r="F98" s="13"/>
      <c r="G98" s="14"/>
      <c r="H98" s="14"/>
      <c r="I98" s="14"/>
      <c r="J98" s="14"/>
      <c r="K98" s="14"/>
      <c r="L98" s="16"/>
      <c r="M98" s="16"/>
    </row>
    <row r="99" spans="1:13" x14ac:dyDescent="0.25">
      <c r="A99" s="12"/>
      <c r="B99" s="13" t="str">
        <f t="shared" si="1"/>
        <v/>
      </c>
      <c r="C99" s="14" t="str">
        <f>IF(OR(A99="",$B$2=""),"", 95)</f>
        <v/>
      </c>
      <c r="D99" s="15"/>
      <c r="E99" s="14"/>
      <c r="F99" s="13"/>
      <c r="G99" s="14"/>
      <c r="H99" s="14"/>
      <c r="I99" s="14"/>
      <c r="J99" s="14"/>
      <c r="K99" s="14"/>
      <c r="L99" s="16"/>
      <c r="M99" s="16"/>
    </row>
    <row r="100" spans="1:13" x14ac:dyDescent="0.25">
      <c r="A100" s="12"/>
      <c r="B100" s="13" t="str">
        <f t="shared" si="1"/>
        <v/>
      </c>
      <c r="C100" s="14" t="str">
        <f>IF(OR(A100="",$B$2=""),"", 96)</f>
        <v/>
      </c>
      <c r="D100" s="15"/>
      <c r="E100" s="14"/>
      <c r="F100" s="13"/>
      <c r="G100" s="14"/>
      <c r="H100" s="14"/>
      <c r="I100" s="14"/>
      <c r="J100" s="14"/>
      <c r="K100" s="14"/>
      <c r="L100" s="16"/>
      <c r="M100" s="16"/>
    </row>
    <row r="101" spans="1:13" x14ac:dyDescent="0.25">
      <c r="A101" s="12"/>
      <c r="B101" s="13" t="str">
        <f t="shared" si="1"/>
        <v/>
      </c>
      <c r="C101" s="14" t="str">
        <f>IF(OR(A101="",$B$2=""),"", 97)</f>
        <v/>
      </c>
      <c r="D101" s="15"/>
      <c r="E101" s="14"/>
      <c r="F101" s="13"/>
      <c r="G101" s="14"/>
      <c r="H101" s="14"/>
      <c r="I101" s="14"/>
      <c r="J101" s="14"/>
      <c r="K101" s="14"/>
      <c r="L101" s="16"/>
      <c r="M101" s="16"/>
    </row>
    <row r="102" spans="1:13" x14ac:dyDescent="0.25">
      <c r="A102" s="12"/>
      <c r="B102" s="13" t="str">
        <f t="shared" si="1"/>
        <v/>
      </c>
      <c r="C102" s="14" t="str">
        <f>IF(OR(A102="",$B$2=""),"", 98)</f>
        <v/>
      </c>
      <c r="D102" s="15"/>
      <c r="E102" s="14"/>
      <c r="F102" s="13"/>
      <c r="G102" s="14"/>
      <c r="H102" s="14"/>
      <c r="I102" s="14"/>
      <c r="J102" s="14"/>
      <c r="K102" s="14"/>
      <c r="L102" s="16"/>
      <c r="M102" s="16"/>
    </row>
    <row r="103" spans="1:13" x14ac:dyDescent="0.25">
      <c r="A103" s="12"/>
      <c r="B103" s="13" t="str">
        <f t="shared" si="1"/>
        <v/>
      </c>
      <c r="C103" s="14" t="str">
        <f>IF(OR(A103="",$B$2=""),"", 99)</f>
        <v/>
      </c>
      <c r="D103" s="15"/>
      <c r="E103" s="14"/>
      <c r="F103" s="13"/>
      <c r="G103" s="14"/>
      <c r="H103" s="14"/>
      <c r="I103" s="14"/>
      <c r="J103" s="14"/>
      <c r="K103" s="14"/>
      <c r="L103" s="16"/>
      <c r="M103" s="16"/>
    </row>
    <row r="104" spans="1:13" x14ac:dyDescent="0.25">
      <c r="A104" s="12"/>
      <c r="B104" s="13" t="str">
        <f t="shared" si="1"/>
        <v/>
      </c>
      <c r="C104" s="14" t="str">
        <f>IF(OR(A104="",$B$2=""),"", 100)</f>
        <v/>
      </c>
      <c r="D104" s="15"/>
      <c r="E104" s="14"/>
      <c r="F104" s="13"/>
      <c r="G104" s="14"/>
      <c r="H104" s="14"/>
      <c r="I104" s="14"/>
      <c r="J104" s="14"/>
      <c r="K104" s="14"/>
      <c r="L104" s="16"/>
      <c r="M104" s="16"/>
    </row>
    <row r="105" spans="1:13" x14ac:dyDescent="0.25">
      <c r="A105" s="12"/>
      <c r="B105" s="13" t="str">
        <f t="shared" si="1"/>
        <v/>
      </c>
      <c r="C105" s="14" t="str">
        <f>IF(OR(A105="",$B$2=""),"", 101)</f>
        <v/>
      </c>
      <c r="D105" s="15"/>
      <c r="E105" s="14"/>
      <c r="F105" s="13"/>
      <c r="G105" s="14"/>
      <c r="H105" s="14"/>
      <c r="I105" s="14"/>
      <c r="J105" s="14"/>
      <c r="K105" s="14"/>
      <c r="L105" s="16"/>
      <c r="M105" s="16"/>
    </row>
    <row r="106" spans="1:13" x14ac:dyDescent="0.25">
      <c r="A106" s="12"/>
      <c r="B106" s="13" t="str">
        <f t="shared" si="1"/>
        <v/>
      </c>
      <c r="C106" s="14" t="str">
        <f>IF(OR(A106="",$B$2=""),"", 102)</f>
        <v/>
      </c>
      <c r="D106" s="15"/>
      <c r="E106" s="14"/>
      <c r="F106" s="13"/>
      <c r="G106" s="14"/>
      <c r="H106" s="14"/>
      <c r="I106" s="14"/>
      <c r="J106" s="14"/>
      <c r="K106" s="14"/>
      <c r="L106" s="16"/>
      <c r="M106" s="16"/>
    </row>
    <row r="107" spans="1:13" x14ac:dyDescent="0.25">
      <c r="A107" s="12"/>
      <c r="B107" s="13" t="str">
        <f t="shared" si="1"/>
        <v/>
      </c>
      <c r="C107" s="14" t="str">
        <f>IF(OR(A107="",$B$2=""),"", 103)</f>
        <v/>
      </c>
      <c r="D107" s="15"/>
      <c r="E107" s="14"/>
      <c r="F107" s="13"/>
      <c r="G107" s="14"/>
      <c r="H107" s="14"/>
      <c r="I107" s="14"/>
      <c r="J107" s="14"/>
      <c r="K107" s="14"/>
      <c r="L107" s="16"/>
      <c r="M107" s="16"/>
    </row>
    <row r="108" spans="1:13" x14ac:dyDescent="0.25">
      <c r="A108" s="12"/>
      <c r="B108" s="13" t="str">
        <f t="shared" si="1"/>
        <v/>
      </c>
      <c r="C108" s="14" t="str">
        <f>IF(OR(A108="",$B$2=""),"", 104)</f>
        <v/>
      </c>
      <c r="D108" s="15"/>
      <c r="E108" s="14"/>
      <c r="F108" s="13"/>
      <c r="G108" s="14"/>
      <c r="H108" s="14"/>
      <c r="I108" s="14"/>
      <c r="J108" s="14"/>
      <c r="K108" s="14"/>
      <c r="L108" s="16"/>
      <c r="M108" s="16"/>
    </row>
    <row r="109" spans="1:13" x14ac:dyDescent="0.25">
      <c r="A109" s="12"/>
      <c r="B109" s="13" t="str">
        <f t="shared" si="1"/>
        <v/>
      </c>
      <c r="C109" s="14" t="str">
        <f>IF(OR(A109="",$B$2=""),"", 105)</f>
        <v/>
      </c>
      <c r="D109" s="15"/>
      <c r="E109" s="14"/>
      <c r="F109" s="13"/>
      <c r="G109" s="14"/>
      <c r="H109" s="14"/>
      <c r="I109" s="14"/>
      <c r="J109" s="14"/>
      <c r="K109" s="14"/>
      <c r="L109" s="16"/>
      <c r="M109" s="16"/>
    </row>
    <row r="110" spans="1:13" x14ac:dyDescent="0.25">
      <c r="A110" s="12"/>
      <c r="B110" s="13" t="str">
        <f t="shared" si="1"/>
        <v/>
      </c>
      <c r="C110" s="14" t="str">
        <f>IF(OR(A110="",$B$2=""),"", 106)</f>
        <v/>
      </c>
      <c r="D110" s="15"/>
      <c r="E110" s="14"/>
      <c r="F110" s="13"/>
      <c r="G110" s="14"/>
      <c r="H110" s="14"/>
      <c r="I110" s="14"/>
      <c r="J110" s="14"/>
      <c r="K110" s="14"/>
      <c r="L110" s="16"/>
      <c r="M110" s="16"/>
    </row>
    <row r="111" spans="1:13" x14ac:dyDescent="0.25">
      <c r="A111" s="12"/>
      <c r="B111" s="13" t="str">
        <f t="shared" si="1"/>
        <v/>
      </c>
      <c r="C111" s="14" t="str">
        <f>IF(OR(A111="",$B$2=""),"", 107)</f>
        <v/>
      </c>
      <c r="D111" s="15"/>
      <c r="E111" s="14"/>
      <c r="F111" s="13"/>
      <c r="G111" s="14"/>
      <c r="H111" s="14"/>
      <c r="I111" s="14"/>
      <c r="J111" s="14"/>
      <c r="K111" s="14"/>
      <c r="L111" s="16"/>
      <c r="M111" s="16"/>
    </row>
    <row r="112" spans="1:13" x14ac:dyDescent="0.25">
      <c r="A112" s="12"/>
      <c r="B112" s="13" t="str">
        <f t="shared" si="1"/>
        <v/>
      </c>
      <c r="C112" s="14" t="str">
        <f>IF(OR(A112="",$B$2=""),"", 108)</f>
        <v/>
      </c>
      <c r="D112" s="15"/>
      <c r="E112" s="14"/>
      <c r="F112" s="13"/>
      <c r="G112" s="14"/>
      <c r="H112" s="14"/>
      <c r="I112" s="14"/>
      <c r="J112" s="14"/>
      <c r="K112" s="14"/>
      <c r="L112" s="16"/>
      <c r="M112" s="16"/>
    </row>
    <row r="113" spans="1:13" x14ac:dyDescent="0.25">
      <c r="A113" s="12"/>
      <c r="B113" s="13" t="str">
        <f t="shared" si="1"/>
        <v/>
      </c>
      <c r="C113" s="14" t="str">
        <f>IF(OR(A113="",$B$2=""),"", 109)</f>
        <v/>
      </c>
      <c r="D113" s="15"/>
      <c r="E113" s="14"/>
      <c r="F113" s="13"/>
      <c r="G113" s="14"/>
      <c r="H113" s="14"/>
      <c r="I113" s="14"/>
      <c r="J113" s="14"/>
      <c r="K113" s="14"/>
      <c r="L113" s="16"/>
      <c r="M113" s="16"/>
    </row>
    <row r="114" spans="1:13" x14ac:dyDescent="0.25">
      <c r="A114" s="12"/>
      <c r="B114" s="13" t="str">
        <f t="shared" si="1"/>
        <v/>
      </c>
      <c r="C114" s="14" t="str">
        <f>IF(OR(A114="",$B$2=""),"", 110)</f>
        <v/>
      </c>
      <c r="D114" s="15"/>
      <c r="E114" s="14"/>
      <c r="F114" s="13"/>
      <c r="G114" s="14"/>
      <c r="H114" s="14"/>
      <c r="I114" s="14"/>
      <c r="J114" s="14"/>
      <c r="K114" s="14"/>
      <c r="L114" s="16"/>
      <c r="M114" s="16"/>
    </row>
    <row r="115" spans="1:13" x14ac:dyDescent="0.25">
      <c r="A115" s="12"/>
      <c r="B115" s="13" t="str">
        <f t="shared" si="1"/>
        <v/>
      </c>
      <c r="C115" s="14" t="str">
        <f>IF(OR(A115="",$B$2=""),"", 111)</f>
        <v/>
      </c>
      <c r="D115" s="15"/>
      <c r="E115" s="14"/>
      <c r="F115" s="13"/>
      <c r="G115" s="14"/>
      <c r="H115" s="14"/>
      <c r="I115" s="14"/>
      <c r="J115" s="14"/>
      <c r="K115" s="14"/>
      <c r="L115" s="16"/>
      <c r="M115" s="16"/>
    </row>
    <row r="116" spans="1:13" x14ac:dyDescent="0.25">
      <c r="A116" s="12"/>
      <c r="B116" s="13" t="str">
        <f t="shared" si="1"/>
        <v/>
      </c>
      <c r="C116" s="14" t="str">
        <f>IF(OR(A116="",$B$2=""),"", 112)</f>
        <v/>
      </c>
      <c r="D116" s="15"/>
      <c r="E116" s="14"/>
      <c r="F116" s="13"/>
      <c r="G116" s="14"/>
      <c r="H116" s="14"/>
      <c r="I116" s="14"/>
      <c r="J116" s="14"/>
      <c r="K116" s="14"/>
      <c r="L116" s="16"/>
      <c r="M116" s="16"/>
    </row>
    <row r="117" spans="1:13" x14ac:dyDescent="0.25">
      <c r="A117" s="12"/>
      <c r="B117" s="13" t="str">
        <f t="shared" si="1"/>
        <v/>
      </c>
      <c r="C117" s="14" t="str">
        <f>IF(OR(A117="",$B$2=""),"", 113)</f>
        <v/>
      </c>
      <c r="D117" s="15"/>
      <c r="E117" s="14"/>
      <c r="F117" s="13"/>
      <c r="G117" s="14"/>
      <c r="H117" s="14"/>
      <c r="I117" s="14"/>
      <c r="J117" s="14"/>
      <c r="K117" s="14"/>
      <c r="L117" s="16"/>
      <c r="M117" s="16"/>
    </row>
    <row r="118" spans="1:13" x14ac:dyDescent="0.25">
      <c r="A118" s="12"/>
      <c r="B118" s="13" t="str">
        <f t="shared" si="1"/>
        <v/>
      </c>
      <c r="C118" s="14" t="str">
        <f>IF(OR(A118="",$B$2=""),"", 114)</f>
        <v/>
      </c>
      <c r="D118" s="15"/>
      <c r="E118" s="14"/>
      <c r="F118" s="13"/>
      <c r="G118" s="14"/>
      <c r="H118" s="14"/>
      <c r="I118" s="14"/>
      <c r="J118" s="14"/>
      <c r="K118" s="14"/>
      <c r="L118" s="16"/>
      <c r="M118" s="16"/>
    </row>
    <row r="119" spans="1:13" x14ac:dyDescent="0.25">
      <c r="A119" s="12"/>
      <c r="B119" s="13" t="str">
        <f t="shared" si="1"/>
        <v/>
      </c>
      <c r="C119" s="14" t="str">
        <f>IF(OR(A119="",$B$2=""),"", 115)</f>
        <v/>
      </c>
      <c r="D119" s="15"/>
      <c r="E119" s="14"/>
      <c r="F119" s="13"/>
      <c r="G119" s="14"/>
      <c r="H119" s="14"/>
      <c r="I119" s="14"/>
      <c r="J119" s="14"/>
      <c r="K119" s="14"/>
      <c r="L119" s="16"/>
      <c r="M119" s="16"/>
    </row>
    <row r="120" spans="1:13" x14ac:dyDescent="0.25">
      <c r="A120" s="12"/>
      <c r="B120" s="13" t="str">
        <f t="shared" si="1"/>
        <v/>
      </c>
      <c r="C120" s="14" t="str">
        <f>IF(OR(A120="",$B$2=""),"", 116)</f>
        <v/>
      </c>
      <c r="D120" s="15"/>
      <c r="E120" s="14"/>
      <c r="F120" s="13"/>
      <c r="G120" s="14"/>
      <c r="H120" s="14"/>
      <c r="I120" s="14"/>
      <c r="J120" s="14"/>
      <c r="K120" s="14"/>
      <c r="L120" s="16"/>
      <c r="M120" s="16"/>
    </row>
    <row r="121" spans="1:13" x14ac:dyDescent="0.25">
      <c r="A121" s="12"/>
      <c r="B121" s="13" t="str">
        <f t="shared" si="1"/>
        <v/>
      </c>
      <c r="C121" s="14" t="str">
        <f>IF(OR(A121="",$B$2=""),"", 117)</f>
        <v/>
      </c>
      <c r="D121" s="15"/>
      <c r="E121" s="14"/>
      <c r="F121" s="13"/>
      <c r="G121" s="14"/>
      <c r="H121" s="14"/>
      <c r="I121" s="14"/>
      <c r="J121" s="14"/>
      <c r="K121" s="14"/>
      <c r="L121" s="16"/>
      <c r="M121" s="16"/>
    </row>
    <row r="122" spans="1:13" x14ac:dyDescent="0.25">
      <c r="A122" s="12"/>
      <c r="B122" s="13" t="str">
        <f t="shared" si="1"/>
        <v/>
      </c>
      <c r="C122" s="14" t="str">
        <f>IF(OR(A122="",$B$2=""),"", 118)</f>
        <v/>
      </c>
      <c r="D122" s="15"/>
      <c r="E122" s="14"/>
      <c r="F122" s="13"/>
      <c r="G122" s="14"/>
      <c r="H122" s="14"/>
      <c r="I122" s="14"/>
      <c r="J122" s="14"/>
      <c r="K122" s="14"/>
      <c r="L122" s="16"/>
      <c r="M122" s="16"/>
    </row>
    <row r="123" spans="1:13" x14ac:dyDescent="0.25">
      <c r="A123" s="12"/>
      <c r="B123" s="13" t="str">
        <f t="shared" si="1"/>
        <v/>
      </c>
      <c r="C123" s="14" t="str">
        <f>IF(OR(A123="",$B$2=""),"", 119)</f>
        <v/>
      </c>
      <c r="D123" s="15"/>
      <c r="E123" s="14"/>
      <c r="F123" s="13"/>
      <c r="G123" s="14"/>
      <c r="H123" s="14"/>
      <c r="I123" s="14"/>
      <c r="J123" s="14"/>
      <c r="K123" s="14"/>
      <c r="L123" s="16"/>
      <c r="M123" s="16"/>
    </row>
    <row r="124" spans="1:13" x14ac:dyDescent="0.25">
      <c r="A124" s="12"/>
      <c r="B124" s="13" t="str">
        <f t="shared" si="1"/>
        <v/>
      </c>
      <c r="C124" s="14" t="str">
        <f>IF(OR(A124="",$B$2=""),"", 120)</f>
        <v/>
      </c>
      <c r="D124" s="15"/>
      <c r="E124" s="14"/>
      <c r="F124" s="13"/>
      <c r="G124" s="14"/>
      <c r="H124" s="14"/>
      <c r="I124" s="14"/>
      <c r="J124" s="14"/>
      <c r="K124" s="14"/>
      <c r="L124" s="16"/>
      <c r="M124" s="16"/>
    </row>
    <row r="125" spans="1:13" x14ac:dyDescent="0.25">
      <c r="A125" s="12"/>
      <c r="B125" s="13" t="str">
        <f t="shared" si="1"/>
        <v/>
      </c>
      <c r="C125" s="14" t="str">
        <f>IF(OR(A125="",$B$2=""),"", 121)</f>
        <v/>
      </c>
      <c r="D125" s="15"/>
      <c r="E125" s="14"/>
      <c r="F125" s="13"/>
      <c r="G125" s="14"/>
      <c r="H125" s="14"/>
      <c r="I125" s="14"/>
      <c r="J125" s="14"/>
      <c r="K125" s="14"/>
      <c r="L125" s="16"/>
      <c r="M125" s="16"/>
    </row>
    <row r="126" spans="1:13" x14ac:dyDescent="0.25">
      <c r="A126" s="12"/>
      <c r="B126" s="13" t="str">
        <f t="shared" si="1"/>
        <v/>
      </c>
      <c r="C126" s="14" t="str">
        <f>IF(OR(A126="",$B$2=""),"", 122)</f>
        <v/>
      </c>
      <c r="D126" s="15"/>
      <c r="E126" s="14"/>
      <c r="F126" s="13"/>
      <c r="G126" s="14"/>
      <c r="H126" s="14"/>
      <c r="I126" s="14"/>
      <c r="J126" s="14"/>
      <c r="K126" s="14"/>
      <c r="L126" s="16"/>
      <c r="M126" s="16"/>
    </row>
    <row r="127" spans="1:13" x14ac:dyDescent="0.25">
      <c r="A127" s="12"/>
      <c r="B127" s="13" t="str">
        <f t="shared" si="1"/>
        <v/>
      </c>
      <c r="C127" s="14" t="str">
        <f>IF(OR(A127="",$B$2=""),"", 123)</f>
        <v/>
      </c>
      <c r="D127" s="15"/>
      <c r="E127" s="14"/>
      <c r="F127" s="13"/>
      <c r="G127" s="14"/>
      <c r="H127" s="14"/>
      <c r="I127" s="14"/>
      <c r="J127" s="14"/>
      <c r="K127" s="14"/>
      <c r="L127" s="16"/>
      <c r="M127" s="16"/>
    </row>
    <row r="128" spans="1:13" x14ac:dyDescent="0.25">
      <c r="A128" s="12"/>
      <c r="B128" s="13" t="str">
        <f t="shared" si="1"/>
        <v/>
      </c>
      <c r="C128" s="14" t="str">
        <f>IF(OR(A128="",$B$2=""),"", 124)</f>
        <v/>
      </c>
      <c r="D128" s="15"/>
      <c r="E128" s="14"/>
      <c r="F128" s="13"/>
      <c r="G128" s="14"/>
      <c r="H128" s="14"/>
      <c r="I128" s="14"/>
      <c r="J128" s="14"/>
      <c r="K128" s="14"/>
      <c r="L128" s="16"/>
      <c r="M128" s="16"/>
    </row>
    <row r="129" spans="1:13" x14ac:dyDescent="0.25">
      <c r="A129" s="12"/>
      <c r="B129" s="13" t="str">
        <f t="shared" si="1"/>
        <v/>
      </c>
      <c r="C129" s="14" t="str">
        <f>IF(OR(A129="",$B$2=""),"", 125)</f>
        <v/>
      </c>
      <c r="D129" s="15"/>
      <c r="E129" s="14"/>
      <c r="F129" s="13"/>
      <c r="G129" s="14"/>
      <c r="H129" s="14"/>
      <c r="I129" s="14"/>
      <c r="J129" s="14"/>
      <c r="K129" s="14"/>
      <c r="L129" s="16"/>
      <c r="M129" s="16"/>
    </row>
    <row r="130" spans="1:13" x14ac:dyDescent="0.25">
      <c r="A130" s="12"/>
      <c r="B130" s="13" t="str">
        <f t="shared" si="1"/>
        <v/>
      </c>
      <c r="C130" s="14" t="str">
        <f>IF(OR(A130="",$B$2=""),"", 126)</f>
        <v/>
      </c>
      <c r="D130" s="15"/>
      <c r="E130" s="14"/>
      <c r="F130" s="13"/>
      <c r="G130" s="14"/>
      <c r="H130" s="14"/>
      <c r="I130" s="14"/>
      <c r="J130" s="14"/>
      <c r="K130" s="14"/>
      <c r="L130" s="16"/>
      <c r="M130" s="16"/>
    </row>
    <row r="131" spans="1:13" x14ac:dyDescent="0.25">
      <c r="A131" s="12"/>
      <c r="B131" s="13" t="str">
        <f t="shared" si="1"/>
        <v/>
      </c>
      <c r="C131" s="14" t="str">
        <f>IF(OR(A131="",$B$2=""),"", 127)</f>
        <v/>
      </c>
      <c r="D131" s="15"/>
      <c r="E131" s="14"/>
      <c r="F131" s="13"/>
      <c r="G131" s="14"/>
      <c r="H131" s="14"/>
      <c r="I131" s="14"/>
      <c r="J131" s="14"/>
      <c r="K131" s="14"/>
      <c r="L131" s="16"/>
      <c r="M131" s="16"/>
    </row>
    <row r="132" spans="1:13" x14ac:dyDescent="0.25">
      <c r="A132" s="12"/>
      <c r="B132" s="13" t="str">
        <f t="shared" si="1"/>
        <v/>
      </c>
      <c r="C132" s="14" t="str">
        <f>IF(OR(A132="",$B$2=""),"", 128)</f>
        <v/>
      </c>
      <c r="D132" s="15"/>
      <c r="E132" s="14"/>
      <c r="F132" s="13"/>
      <c r="G132" s="14"/>
      <c r="H132" s="14"/>
      <c r="I132" s="14"/>
      <c r="J132" s="14"/>
      <c r="K132" s="14"/>
      <c r="L132" s="16"/>
      <c r="M132" s="16"/>
    </row>
    <row r="133" spans="1:13" x14ac:dyDescent="0.25">
      <c r="A133" s="12"/>
      <c r="B133" s="13" t="str">
        <f t="shared" si="1"/>
        <v/>
      </c>
      <c r="C133" s="14" t="str">
        <f>IF(OR(A133="",$B$2=""),"", 129)</f>
        <v/>
      </c>
      <c r="D133" s="15"/>
      <c r="E133" s="14"/>
      <c r="F133" s="13"/>
      <c r="G133" s="14"/>
      <c r="H133" s="14"/>
      <c r="I133" s="14"/>
      <c r="J133" s="14"/>
      <c r="K133" s="14"/>
      <c r="L133" s="16"/>
      <c r="M133" s="16"/>
    </row>
    <row r="134" spans="1:13" x14ac:dyDescent="0.25">
      <c r="A134" s="12"/>
      <c r="B134" s="13" t="str">
        <f t="shared" si="1"/>
        <v/>
      </c>
      <c r="C134" s="14" t="str">
        <f>IF(OR(A134="",$B$2=""),"", 130)</f>
        <v/>
      </c>
      <c r="D134" s="15"/>
      <c r="E134" s="14"/>
      <c r="F134" s="13"/>
      <c r="G134" s="14"/>
      <c r="H134" s="14"/>
      <c r="I134" s="14"/>
      <c r="J134" s="14"/>
      <c r="K134" s="14"/>
      <c r="L134" s="16"/>
      <c r="M134" s="16"/>
    </row>
    <row r="135" spans="1:13" x14ac:dyDescent="0.25">
      <c r="A135" s="12"/>
      <c r="B135" s="13" t="str">
        <f t="shared" si="1"/>
        <v/>
      </c>
      <c r="C135" s="14" t="str">
        <f>IF(OR(A135="",$B$2=""),"", 131)</f>
        <v/>
      </c>
      <c r="D135" s="15"/>
      <c r="E135" s="14"/>
      <c r="F135" s="13"/>
      <c r="G135" s="14"/>
      <c r="H135" s="14"/>
      <c r="I135" s="14"/>
      <c r="J135" s="14"/>
      <c r="K135" s="14"/>
      <c r="L135" s="16"/>
      <c r="M135" s="16"/>
    </row>
    <row r="136" spans="1:13" x14ac:dyDescent="0.25">
      <c r="A136" s="12"/>
      <c r="B136" s="13" t="str">
        <f t="shared" si="1"/>
        <v/>
      </c>
      <c r="C136" s="14" t="str">
        <f>IF(OR(A136="",$B$2=""),"", 132)</f>
        <v/>
      </c>
      <c r="D136" s="15"/>
      <c r="E136" s="14"/>
      <c r="F136" s="13"/>
      <c r="G136" s="14"/>
      <c r="H136" s="14"/>
      <c r="I136" s="14"/>
      <c r="J136" s="14"/>
      <c r="K136" s="14"/>
      <c r="L136" s="16"/>
      <c r="M136" s="16"/>
    </row>
    <row r="137" spans="1:13" x14ac:dyDescent="0.25">
      <c r="A137" s="12"/>
      <c r="B137" s="13" t="str">
        <f t="shared" si="1"/>
        <v/>
      </c>
      <c r="C137" s="14" t="str">
        <f>IF(OR(A137="",$B$2=""),"", 133)</f>
        <v/>
      </c>
      <c r="D137" s="15"/>
      <c r="E137" s="14"/>
      <c r="F137" s="13"/>
      <c r="G137" s="14"/>
      <c r="H137" s="14"/>
      <c r="I137" s="14"/>
      <c r="J137" s="14"/>
      <c r="K137" s="14"/>
      <c r="L137" s="16"/>
      <c r="M137" s="16"/>
    </row>
    <row r="138" spans="1:13" x14ac:dyDescent="0.25">
      <c r="A138" s="12"/>
      <c r="B138" s="13" t="str">
        <f t="shared" si="1"/>
        <v/>
      </c>
      <c r="C138" s="14" t="str">
        <f>IF(OR(A138="",$B$2=""),"", 134)</f>
        <v/>
      </c>
      <c r="D138" s="15"/>
      <c r="E138" s="14"/>
      <c r="F138" s="13"/>
      <c r="G138" s="14"/>
      <c r="H138" s="14"/>
      <c r="I138" s="14"/>
      <c r="J138" s="14"/>
      <c r="K138" s="14"/>
      <c r="L138" s="16"/>
      <c r="M138" s="16"/>
    </row>
    <row r="139" spans="1:13" x14ac:dyDescent="0.25">
      <c r="A139" s="12"/>
      <c r="B139" s="13" t="str">
        <f t="shared" si="1"/>
        <v/>
      </c>
      <c r="C139" s="14" t="str">
        <f>IF(OR(A139="",$B$2=""),"", 135)</f>
        <v/>
      </c>
      <c r="D139" s="15"/>
      <c r="E139" s="14"/>
      <c r="F139" s="13"/>
      <c r="G139" s="14"/>
      <c r="H139" s="14"/>
      <c r="I139" s="14"/>
      <c r="J139" s="14"/>
      <c r="K139" s="14"/>
      <c r="L139" s="16"/>
      <c r="M139" s="16"/>
    </row>
    <row r="140" spans="1:13" x14ac:dyDescent="0.25">
      <c r="A140" s="12"/>
      <c r="B140" s="13" t="str">
        <f t="shared" si="1"/>
        <v/>
      </c>
      <c r="C140" s="14" t="str">
        <f>IF(OR(A140="",$B$2=""),"", 136)</f>
        <v/>
      </c>
      <c r="D140" s="15"/>
      <c r="E140" s="14"/>
      <c r="F140" s="13"/>
      <c r="G140" s="14"/>
      <c r="H140" s="14"/>
      <c r="I140" s="14"/>
      <c r="J140" s="14"/>
      <c r="K140" s="14"/>
      <c r="L140" s="16"/>
      <c r="M140" s="16"/>
    </row>
    <row r="141" spans="1:13" x14ac:dyDescent="0.25">
      <c r="A141" s="12"/>
      <c r="B141" s="13" t="str">
        <f t="shared" si="1"/>
        <v/>
      </c>
      <c r="C141" s="14" t="str">
        <f>IF(OR(A141="",$B$2=""),"", 137)</f>
        <v/>
      </c>
      <c r="D141" s="15"/>
      <c r="E141" s="14"/>
      <c r="F141" s="13"/>
      <c r="G141" s="14"/>
      <c r="H141" s="14"/>
      <c r="I141" s="14"/>
      <c r="J141" s="14"/>
      <c r="K141" s="14"/>
      <c r="L141" s="16"/>
      <c r="M141" s="16"/>
    </row>
    <row r="142" spans="1:13" x14ac:dyDescent="0.25">
      <c r="A142" s="12"/>
      <c r="B142" s="13" t="str">
        <f t="shared" si="1"/>
        <v/>
      </c>
      <c r="C142" s="14" t="str">
        <f>IF(OR(A142="",$B$2=""),"", 138)</f>
        <v/>
      </c>
      <c r="D142" s="15"/>
      <c r="E142" s="14"/>
      <c r="F142" s="13"/>
      <c r="G142" s="14"/>
      <c r="H142" s="14"/>
      <c r="I142" s="14"/>
      <c r="J142" s="14"/>
      <c r="K142" s="14"/>
      <c r="L142" s="16"/>
      <c r="M142" s="16"/>
    </row>
    <row r="143" spans="1:13" x14ac:dyDescent="0.25">
      <c r="A143" s="12"/>
      <c r="B143" s="13" t="str">
        <f t="shared" si="1"/>
        <v/>
      </c>
      <c r="C143" s="14" t="str">
        <f>IF(OR(A143="",$B$2=""),"", 139)</f>
        <v/>
      </c>
      <c r="D143" s="15"/>
      <c r="E143" s="14"/>
      <c r="F143" s="13"/>
      <c r="G143" s="14"/>
      <c r="H143" s="14"/>
      <c r="I143" s="14"/>
      <c r="J143" s="14"/>
      <c r="K143" s="14"/>
      <c r="L143" s="16"/>
      <c r="M143" s="16"/>
    </row>
    <row r="144" spans="1:13" x14ac:dyDescent="0.25">
      <c r="A144" s="12"/>
      <c r="B144" s="13" t="str">
        <f t="shared" si="1"/>
        <v/>
      </c>
      <c r="C144" s="14" t="str">
        <f>IF(OR(A144="",$B$2=""),"", 140)</f>
        <v/>
      </c>
      <c r="D144" s="15"/>
      <c r="E144" s="14"/>
      <c r="F144" s="13"/>
      <c r="G144" s="14"/>
      <c r="H144" s="14"/>
      <c r="I144" s="14"/>
      <c r="J144" s="14"/>
      <c r="K144" s="14"/>
      <c r="L144" s="16"/>
      <c r="M144" s="16"/>
    </row>
    <row r="145" spans="1:13" x14ac:dyDescent="0.25">
      <c r="A145" s="12"/>
      <c r="B145" s="13" t="str">
        <f t="shared" si="1"/>
        <v/>
      </c>
      <c r="C145" s="14" t="str">
        <f>IF(OR(A145="",$B$2=""),"", 141)</f>
        <v/>
      </c>
      <c r="D145" s="15"/>
      <c r="E145" s="14"/>
      <c r="F145" s="13"/>
      <c r="G145" s="14"/>
      <c r="H145" s="14"/>
      <c r="I145" s="14"/>
      <c r="J145" s="14"/>
      <c r="K145" s="14"/>
      <c r="L145" s="16"/>
      <c r="M145" s="16"/>
    </row>
    <row r="146" spans="1:13" x14ac:dyDescent="0.25">
      <c r="A146" s="12"/>
      <c r="B146" s="13" t="str">
        <f t="shared" ref="B146:B209" si="2">IF(OR(A146="",$B$2=""),"", (A146-$B$2)*1440)</f>
        <v/>
      </c>
      <c r="C146" s="14" t="str">
        <f>IF(OR(A146="",$B$2=""),"", 142)</f>
        <v/>
      </c>
      <c r="D146" s="15"/>
      <c r="E146" s="14"/>
      <c r="F146" s="13"/>
      <c r="G146" s="14"/>
      <c r="H146" s="14"/>
      <c r="I146" s="14"/>
      <c r="J146" s="14"/>
      <c r="K146" s="14"/>
      <c r="L146" s="16"/>
      <c r="M146" s="16"/>
    </row>
    <row r="147" spans="1:13" x14ac:dyDescent="0.25">
      <c r="A147" s="12"/>
      <c r="B147" s="13" t="str">
        <f t="shared" si="2"/>
        <v/>
      </c>
      <c r="C147" s="14" t="str">
        <f>IF(OR(A147="",$B$2=""),"", 143)</f>
        <v/>
      </c>
      <c r="D147" s="15"/>
      <c r="E147" s="14"/>
      <c r="F147" s="13"/>
      <c r="G147" s="14"/>
      <c r="H147" s="14"/>
      <c r="I147" s="14"/>
      <c r="J147" s="14"/>
      <c r="K147" s="14"/>
      <c r="L147" s="16"/>
      <c r="M147" s="16"/>
    </row>
    <row r="148" spans="1:13" x14ac:dyDescent="0.25">
      <c r="A148" s="12"/>
      <c r="B148" s="13" t="str">
        <f t="shared" si="2"/>
        <v/>
      </c>
      <c r="C148" s="14" t="str">
        <f>IF(OR(A148="",$B$2=""),"", 144)</f>
        <v/>
      </c>
      <c r="D148" s="15"/>
      <c r="E148" s="14"/>
      <c r="F148" s="13"/>
      <c r="G148" s="14"/>
      <c r="H148" s="14"/>
      <c r="I148" s="14"/>
      <c r="J148" s="14"/>
      <c r="K148" s="14"/>
      <c r="L148" s="16"/>
      <c r="M148" s="16"/>
    </row>
    <row r="149" spans="1:13" x14ac:dyDescent="0.25">
      <c r="A149" s="12"/>
      <c r="B149" s="13" t="str">
        <f t="shared" si="2"/>
        <v/>
      </c>
      <c r="C149" s="14" t="str">
        <f>IF(OR(A149="",$B$2=""),"", 145)</f>
        <v/>
      </c>
      <c r="D149" s="15"/>
      <c r="E149" s="14"/>
      <c r="F149" s="13"/>
      <c r="G149" s="14"/>
      <c r="H149" s="14"/>
      <c r="I149" s="14"/>
      <c r="J149" s="14"/>
      <c r="K149" s="14"/>
      <c r="L149" s="16"/>
      <c r="M149" s="16"/>
    </row>
    <row r="150" spans="1:13" x14ac:dyDescent="0.25">
      <c r="A150" s="12"/>
      <c r="B150" s="13" t="str">
        <f t="shared" si="2"/>
        <v/>
      </c>
      <c r="C150" s="14" t="str">
        <f>IF(OR(A150="",$B$2=""),"", 146)</f>
        <v/>
      </c>
      <c r="D150" s="15"/>
      <c r="E150" s="14"/>
      <c r="F150" s="13"/>
      <c r="G150" s="14"/>
      <c r="H150" s="14"/>
      <c r="I150" s="14"/>
      <c r="J150" s="14"/>
      <c r="K150" s="14"/>
      <c r="L150" s="16"/>
      <c r="M150" s="16"/>
    </row>
    <row r="151" spans="1:13" x14ac:dyDescent="0.25">
      <c r="A151" s="12"/>
      <c r="B151" s="13" t="str">
        <f t="shared" si="2"/>
        <v/>
      </c>
      <c r="C151" s="14" t="str">
        <f>IF(OR(A151="",$B$2=""),"", 147)</f>
        <v/>
      </c>
      <c r="D151" s="15"/>
      <c r="E151" s="14"/>
      <c r="F151" s="13"/>
      <c r="G151" s="14"/>
      <c r="H151" s="14"/>
      <c r="I151" s="14"/>
      <c r="J151" s="14"/>
      <c r="K151" s="14"/>
      <c r="L151" s="16"/>
      <c r="M151" s="16"/>
    </row>
    <row r="152" spans="1:13" x14ac:dyDescent="0.25">
      <c r="A152" s="12"/>
      <c r="B152" s="13" t="str">
        <f t="shared" si="2"/>
        <v/>
      </c>
      <c r="C152" s="14" t="str">
        <f>IF(OR(A152="",$B$2=""),"", 148)</f>
        <v/>
      </c>
      <c r="D152" s="15"/>
      <c r="E152" s="14"/>
      <c r="F152" s="13"/>
      <c r="G152" s="14"/>
      <c r="H152" s="14"/>
      <c r="I152" s="14"/>
      <c r="J152" s="14"/>
      <c r="K152" s="14"/>
      <c r="L152" s="16"/>
      <c r="M152" s="16"/>
    </row>
    <row r="153" spans="1:13" x14ac:dyDescent="0.25">
      <c r="A153" s="12"/>
      <c r="B153" s="13" t="str">
        <f t="shared" si="2"/>
        <v/>
      </c>
      <c r="C153" s="14" t="str">
        <f>IF(OR(A153="",$B$2=""),"", 149)</f>
        <v/>
      </c>
      <c r="D153" s="15"/>
      <c r="E153" s="14"/>
      <c r="F153" s="13"/>
      <c r="G153" s="14"/>
      <c r="H153" s="14"/>
      <c r="I153" s="14"/>
      <c r="J153" s="14"/>
      <c r="K153" s="14"/>
      <c r="L153" s="16"/>
      <c r="M153" s="16"/>
    </row>
    <row r="154" spans="1:13" x14ac:dyDescent="0.25">
      <c r="A154" s="12"/>
      <c r="B154" s="13" t="str">
        <f t="shared" si="2"/>
        <v/>
      </c>
      <c r="C154" s="14" t="str">
        <f>IF(OR(A154="",$B$2=""),"", 150)</f>
        <v/>
      </c>
      <c r="D154" s="15"/>
      <c r="E154" s="14"/>
      <c r="F154" s="13"/>
      <c r="G154" s="14"/>
      <c r="H154" s="14"/>
      <c r="I154" s="14"/>
      <c r="J154" s="14"/>
      <c r="K154" s="14"/>
      <c r="L154" s="16"/>
      <c r="M154" s="16"/>
    </row>
    <row r="155" spans="1:13" x14ac:dyDescent="0.25">
      <c r="A155" s="12"/>
      <c r="B155" s="13" t="str">
        <f t="shared" si="2"/>
        <v/>
      </c>
      <c r="C155" s="14" t="str">
        <f>IF(OR(A155="",$B$2=""),"", 151)</f>
        <v/>
      </c>
      <c r="D155" s="15"/>
      <c r="E155" s="14"/>
      <c r="F155" s="13"/>
      <c r="G155" s="14"/>
      <c r="H155" s="14"/>
      <c r="I155" s="14"/>
      <c r="J155" s="14"/>
      <c r="K155" s="14"/>
      <c r="L155" s="16"/>
      <c r="M155" s="16"/>
    </row>
    <row r="156" spans="1:13" x14ac:dyDescent="0.25">
      <c r="A156" s="12"/>
      <c r="B156" s="13" t="str">
        <f t="shared" si="2"/>
        <v/>
      </c>
      <c r="C156" s="14" t="str">
        <f>IF(OR(A156="",$B$2=""),"", 152)</f>
        <v/>
      </c>
      <c r="D156" s="15"/>
      <c r="E156" s="14"/>
      <c r="F156" s="13"/>
      <c r="G156" s="14"/>
      <c r="H156" s="14"/>
      <c r="I156" s="14"/>
      <c r="J156" s="14"/>
      <c r="K156" s="14"/>
      <c r="L156" s="16"/>
      <c r="M156" s="16"/>
    </row>
    <row r="157" spans="1:13" x14ac:dyDescent="0.25">
      <c r="A157" s="12"/>
      <c r="B157" s="13" t="str">
        <f t="shared" si="2"/>
        <v/>
      </c>
      <c r="C157" s="14" t="str">
        <f>IF(OR(A157="",$B$2=""),"", 153)</f>
        <v/>
      </c>
      <c r="D157" s="15"/>
      <c r="E157" s="14"/>
      <c r="F157" s="13"/>
      <c r="G157" s="14"/>
      <c r="H157" s="14"/>
      <c r="I157" s="14"/>
      <c r="J157" s="14"/>
      <c r="K157" s="14"/>
      <c r="L157" s="16"/>
      <c r="M157" s="16"/>
    </row>
    <row r="158" spans="1:13" x14ac:dyDescent="0.25">
      <c r="A158" s="12"/>
      <c r="B158" s="13" t="str">
        <f t="shared" si="2"/>
        <v/>
      </c>
      <c r="C158" s="14" t="str">
        <f>IF(OR(A158="",$B$2=""),"", 154)</f>
        <v/>
      </c>
      <c r="D158" s="15"/>
      <c r="E158" s="14"/>
      <c r="F158" s="13"/>
      <c r="G158" s="14"/>
      <c r="H158" s="14"/>
      <c r="I158" s="14"/>
      <c r="J158" s="14"/>
      <c r="K158" s="14"/>
      <c r="L158" s="16"/>
      <c r="M158" s="16"/>
    </row>
    <row r="159" spans="1:13" x14ac:dyDescent="0.25">
      <c r="A159" s="12"/>
      <c r="B159" s="13" t="str">
        <f t="shared" si="2"/>
        <v/>
      </c>
      <c r="C159" s="14" t="str">
        <f>IF(OR(A159="",$B$2=""),"", 155)</f>
        <v/>
      </c>
      <c r="D159" s="15"/>
      <c r="E159" s="14"/>
      <c r="F159" s="13"/>
      <c r="G159" s="14"/>
      <c r="H159" s="14"/>
      <c r="I159" s="14"/>
      <c r="J159" s="14"/>
      <c r="K159" s="14"/>
      <c r="L159" s="16"/>
      <c r="M159" s="16"/>
    </row>
    <row r="160" spans="1:13" x14ac:dyDescent="0.25">
      <c r="A160" s="12"/>
      <c r="B160" s="13" t="str">
        <f t="shared" si="2"/>
        <v/>
      </c>
      <c r="C160" s="14" t="str">
        <f>IF(OR(A160="",$B$2=""),"", 156)</f>
        <v/>
      </c>
      <c r="D160" s="15"/>
      <c r="E160" s="14"/>
      <c r="F160" s="13"/>
      <c r="G160" s="14"/>
      <c r="H160" s="14"/>
      <c r="I160" s="14"/>
      <c r="J160" s="14"/>
      <c r="K160" s="14"/>
      <c r="L160" s="16"/>
      <c r="M160" s="16"/>
    </row>
    <row r="161" spans="1:13" x14ac:dyDescent="0.25">
      <c r="A161" s="12"/>
      <c r="B161" s="13" t="str">
        <f t="shared" si="2"/>
        <v/>
      </c>
      <c r="C161" s="14" t="str">
        <f>IF(OR(A161="",$B$2=""),"", 157)</f>
        <v/>
      </c>
      <c r="D161" s="15"/>
      <c r="E161" s="14"/>
      <c r="F161" s="13"/>
      <c r="G161" s="14"/>
      <c r="H161" s="14"/>
      <c r="I161" s="14"/>
      <c r="J161" s="14"/>
      <c r="K161" s="14"/>
      <c r="L161" s="16"/>
      <c r="M161" s="16"/>
    </row>
    <row r="162" spans="1:13" x14ac:dyDescent="0.25">
      <c r="A162" s="12"/>
      <c r="B162" s="13" t="str">
        <f t="shared" si="2"/>
        <v/>
      </c>
      <c r="C162" s="14" t="str">
        <f>IF(OR(A162="",$B$2=""),"", 158)</f>
        <v/>
      </c>
      <c r="D162" s="15"/>
      <c r="E162" s="14"/>
      <c r="F162" s="13"/>
      <c r="G162" s="14"/>
      <c r="H162" s="14"/>
      <c r="I162" s="14"/>
      <c r="J162" s="14"/>
      <c r="K162" s="14"/>
      <c r="L162" s="16"/>
      <c r="M162" s="16"/>
    </row>
    <row r="163" spans="1:13" x14ac:dyDescent="0.25">
      <c r="A163" s="12"/>
      <c r="B163" s="13" t="str">
        <f t="shared" si="2"/>
        <v/>
      </c>
      <c r="C163" s="14" t="str">
        <f>IF(OR(A163="",$B$2=""),"", 159)</f>
        <v/>
      </c>
      <c r="D163" s="15"/>
      <c r="E163" s="14"/>
      <c r="F163" s="13"/>
      <c r="G163" s="14"/>
      <c r="H163" s="14"/>
      <c r="I163" s="14"/>
      <c r="J163" s="14"/>
      <c r="K163" s="14"/>
      <c r="L163" s="16"/>
      <c r="M163" s="16"/>
    </row>
    <row r="164" spans="1:13" x14ac:dyDescent="0.25">
      <c r="A164" s="12"/>
      <c r="B164" s="13" t="str">
        <f t="shared" si="2"/>
        <v/>
      </c>
      <c r="C164" s="14" t="str">
        <f>IF(OR(A164="",$B$2=""),"", 160)</f>
        <v/>
      </c>
      <c r="D164" s="15"/>
      <c r="E164" s="14"/>
      <c r="F164" s="13"/>
      <c r="G164" s="14"/>
      <c r="H164" s="14"/>
      <c r="I164" s="14"/>
      <c r="J164" s="14"/>
      <c r="K164" s="14"/>
      <c r="L164" s="16"/>
      <c r="M164" s="16"/>
    </row>
    <row r="165" spans="1:13" x14ac:dyDescent="0.25">
      <c r="A165" s="12"/>
      <c r="B165" s="13" t="str">
        <f t="shared" si="2"/>
        <v/>
      </c>
      <c r="C165" s="14" t="str">
        <f>IF(OR(A165="",$B$2=""),"", 161)</f>
        <v/>
      </c>
      <c r="D165" s="15"/>
      <c r="E165" s="14"/>
      <c r="F165" s="13"/>
      <c r="G165" s="14"/>
      <c r="H165" s="14"/>
      <c r="I165" s="14"/>
      <c r="J165" s="14"/>
      <c r="K165" s="14"/>
      <c r="L165" s="16"/>
      <c r="M165" s="16"/>
    </row>
    <row r="166" spans="1:13" x14ac:dyDescent="0.25">
      <c r="A166" s="12"/>
      <c r="B166" s="13" t="str">
        <f t="shared" si="2"/>
        <v/>
      </c>
      <c r="C166" s="14" t="str">
        <f>IF(OR(A166="",$B$2=""),"", 162)</f>
        <v/>
      </c>
      <c r="D166" s="15"/>
      <c r="E166" s="14"/>
      <c r="F166" s="13"/>
      <c r="G166" s="14"/>
      <c r="H166" s="14"/>
      <c r="I166" s="14"/>
      <c r="J166" s="14"/>
      <c r="K166" s="14"/>
      <c r="L166" s="16"/>
      <c r="M166" s="16"/>
    </row>
    <row r="167" spans="1:13" x14ac:dyDescent="0.25">
      <c r="A167" s="12"/>
      <c r="B167" s="13" t="str">
        <f t="shared" si="2"/>
        <v/>
      </c>
      <c r="C167" s="14" t="str">
        <f>IF(OR(A167="",$B$2=""),"", 163)</f>
        <v/>
      </c>
      <c r="D167" s="15"/>
      <c r="E167" s="14"/>
      <c r="F167" s="13"/>
      <c r="G167" s="14"/>
      <c r="H167" s="14"/>
      <c r="I167" s="14"/>
      <c r="J167" s="14"/>
      <c r="K167" s="14"/>
      <c r="L167" s="16"/>
      <c r="M167" s="16"/>
    </row>
    <row r="168" spans="1:13" x14ac:dyDescent="0.25">
      <c r="A168" s="12"/>
      <c r="B168" s="13" t="str">
        <f t="shared" si="2"/>
        <v/>
      </c>
      <c r="C168" s="14" t="str">
        <f>IF(OR(A168="",$B$2=""),"", 164)</f>
        <v/>
      </c>
      <c r="D168" s="15"/>
      <c r="E168" s="14"/>
      <c r="F168" s="13"/>
      <c r="G168" s="14"/>
      <c r="H168" s="14"/>
      <c r="I168" s="14"/>
      <c r="J168" s="14"/>
      <c r="K168" s="14"/>
      <c r="L168" s="16"/>
      <c r="M168" s="16"/>
    </row>
    <row r="169" spans="1:13" x14ac:dyDescent="0.25">
      <c r="A169" s="12"/>
      <c r="B169" s="13" t="str">
        <f t="shared" si="2"/>
        <v/>
      </c>
      <c r="C169" s="14" t="str">
        <f>IF(OR(A169="",$B$2=""),"", 165)</f>
        <v/>
      </c>
      <c r="D169" s="15"/>
      <c r="E169" s="14"/>
      <c r="F169" s="13"/>
      <c r="G169" s="14"/>
      <c r="H169" s="14"/>
      <c r="I169" s="14"/>
      <c r="J169" s="14"/>
      <c r="K169" s="14"/>
      <c r="L169" s="16"/>
      <c r="M169" s="16"/>
    </row>
    <row r="170" spans="1:13" x14ac:dyDescent="0.25">
      <c r="A170" s="12"/>
      <c r="B170" s="13" t="str">
        <f t="shared" si="2"/>
        <v/>
      </c>
      <c r="C170" s="14" t="str">
        <f>IF(OR(A170="",$B$2=""),"", 166)</f>
        <v/>
      </c>
      <c r="D170" s="15"/>
      <c r="E170" s="14"/>
      <c r="F170" s="13"/>
      <c r="G170" s="14"/>
      <c r="H170" s="14"/>
      <c r="I170" s="14"/>
      <c r="J170" s="14"/>
      <c r="K170" s="14"/>
      <c r="L170" s="16"/>
      <c r="M170" s="16"/>
    </row>
    <row r="171" spans="1:13" x14ac:dyDescent="0.25">
      <c r="A171" s="12"/>
      <c r="B171" s="13" t="str">
        <f t="shared" si="2"/>
        <v/>
      </c>
      <c r="C171" s="14" t="str">
        <f>IF(OR(A171="",$B$2=""),"", 167)</f>
        <v/>
      </c>
      <c r="D171" s="15"/>
      <c r="E171" s="14"/>
      <c r="F171" s="13"/>
      <c r="G171" s="14"/>
      <c r="H171" s="14"/>
      <c r="I171" s="14"/>
      <c r="J171" s="14"/>
      <c r="K171" s="14"/>
      <c r="L171" s="16"/>
      <c r="M171" s="16"/>
    </row>
    <row r="172" spans="1:13" x14ac:dyDescent="0.25">
      <c r="A172" s="12"/>
      <c r="B172" s="13" t="str">
        <f t="shared" si="2"/>
        <v/>
      </c>
      <c r="C172" s="14" t="str">
        <f>IF(OR(A172="",$B$2=""),"", 168)</f>
        <v/>
      </c>
      <c r="D172" s="15"/>
      <c r="E172" s="14"/>
      <c r="F172" s="13"/>
      <c r="G172" s="14"/>
      <c r="H172" s="14"/>
      <c r="I172" s="14"/>
      <c r="J172" s="14"/>
      <c r="K172" s="14"/>
      <c r="L172" s="16"/>
      <c r="M172" s="16"/>
    </row>
    <row r="173" spans="1:13" x14ac:dyDescent="0.25">
      <c r="A173" s="12"/>
      <c r="B173" s="13" t="str">
        <f t="shared" si="2"/>
        <v/>
      </c>
      <c r="C173" s="14" t="str">
        <f>IF(OR(A173="",$B$2=""),"", 169)</f>
        <v/>
      </c>
      <c r="D173" s="15"/>
      <c r="E173" s="14"/>
      <c r="F173" s="13"/>
      <c r="G173" s="14"/>
      <c r="H173" s="14"/>
      <c r="I173" s="14"/>
      <c r="J173" s="14"/>
      <c r="K173" s="14"/>
      <c r="L173" s="16"/>
      <c r="M173" s="16"/>
    </row>
    <row r="174" spans="1:13" x14ac:dyDescent="0.25">
      <c r="A174" s="12"/>
      <c r="B174" s="13" t="str">
        <f t="shared" si="2"/>
        <v/>
      </c>
      <c r="C174" s="14" t="str">
        <f>IF(OR(A174="",$B$2=""),"", 170)</f>
        <v/>
      </c>
      <c r="D174" s="15"/>
      <c r="E174" s="14"/>
      <c r="F174" s="13"/>
      <c r="G174" s="14"/>
      <c r="H174" s="14"/>
      <c r="I174" s="14"/>
      <c r="J174" s="14"/>
      <c r="K174" s="14"/>
      <c r="L174" s="16"/>
      <c r="M174" s="16"/>
    </row>
    <row r="175" spans="1:13" x14ac:dyDescent="0.25">
      <c r="A175" s="12"/>
      <c r="B175" s="13" t="str">
        <f t="shared" si="2"/>
        <v/>
      </c>
      <c r="C175" s="14" t="str">
        <f>IF(OR(A175="",$B$2=""),"", 171)</f>
        <v/>
      </c>
      <c r="D175" s="15"/>
      <c r="E175" s="14"/>
      <c r="F175" s="13"/>
      <c r="G175" s="14"/>
      <c r="H175" s="14"/>
      <c r="I175" s="14"/>
      <c r="J175" s="14"/>
      <c r="K175" s="14"/>
      <c r="L175" s="16"/>
      <c r="M175" s="16"/>
    </row>
    <row r="176" spans="1:13" x14ac:dyDescent="0.25">
      <c r="A176" s="12"/>
      <c r="B176" s="13" t="str">
        <f t="shared" si="2"/>
        <v/>
      </c>
      <c r="C176" s="14" t="str">
        <f>IF(OR(A176="",$B$2=""),"", 172)</f>
        <v/>
      </c>
      <c r="D176" s="15"/>
      <c r="E176" s="14"/>
      <c r="F176" s="13"/>
      <c r="G176" s="14"/>
      <c r="H176" s="14"/>
      <c r="I176" s="14"/>
      <c r="J176" s="14"/>
      <c r="K176" s="14"/>
      <c r="L176" s="16"/>
      <c r="M176" s="16"/>
    </row>
    <row r="177" spans="1:13" x14ac:dyDescent="0.25">
      <c r="A177" s="12"/>
      <c r="B177" s="13" t="str">
        <f t="shared" si="2"/>
        <v/>
      </c>
      <c r="C177" s="14" t="str">
        <f>IF(OR(A177="",$B$2=""),"", 173)</f>
        <v/>
      </c>
      <c r="D177" s="15"/>
      <c r="E177" s="14"/>
      <c r="F177" s="13"/>
      <c r="G177" s="14"/>
      <c r="H177" s="14"/>
      <c r="I177" s="14"/>
      <c r="J177" s="14"/>
      <c r="K177" s="14"/>
      <c r="L177" s="16"/>
      <c r="M177" s="16"/>
    </row>
    <row r="178" spans="1:13" x14ac:dyDescent="0.25">
      <c r="A178" s="12"/>
      <c r="B178" s="13" t="str">
        <f t="shared" si="2"/>
        <v/>
      </c>
      <c r="C178" s="14" t="str">
        <f>IF(OR(A178="",$B$2=""),"", 174)</f>
        <v/>
      </c>
      <c r="D178" s="15"/>
      <c r="E178" s="14"/>
      <c r="F178" s="13"/>
      <c r="G178" s="14"/>
      <c r="H178" s="14"/>
      <c r="I178" s="14"/>
      <c r="J178" s="14"/>
      <c r="K178" s="14"/>
      <c r="L178" s="16"/>
      <c r="M178" s="16"/>
    </row>
    <row r="179" spans="1:13" x14ac:dyDescent="0.25">
      <c r="A179" s="12"/>
      <c r="B179" s="13" t="str">
        <f t="shared" si="2"/>
        <v/>
      </c>
      <c r="C179" s="14" t="str">
        <f>IF(OR(A179="",$B$2=""),"", 175)</f>
        <v/>
      </c>
      <c r="D179" s="15"/>
      <c r="E179" s="14"/>
      <c r="F179" s="13"/>
      <c r="G179" s="14"/>
      <c r="H179" s="14"/>
      <c r="I179" s="14"/>
      <c r="J179" s="14"/>
      <c r="K179" s="14"/>
      <c r="L179" s="16"/>
      <c r="M179" s="16"/>
    </row>
    <row r="180" spans="1:13" x14ac:dyDescent="0.25">
      <c r="A180" s="12"/>
      <c r="B180" s="13" t="str">
        <f t="shared" si="2"/>
        <v/>
      </c>
      <c r="C180" s="14" t="str">
        <f>IF(OR(A180="",$B$2=""),"", 176)</f>
        <v/>
      </c>
      <c r="D180" s="15"/>
      <c r="E180" s="14"/>
      <c r="F180" s="13"/>
      <c r="G180" s="14"/>
      <c r="H180" s="14"/>
      <c r="I180" s="14"/>
      <c r="J180" s="14"/>
      <c r="K180" s="14"/>
      <c r="L180" s="16"/>
      <c r="M180" s="16"/>
    </row>
    <row r="181" spans="1:13" x14ac:dyDescent="0.25">
      <c r="A181" s="12"/>
      <c r="B181" s="13" t="str">
        <f t="shared" si="2"/>
        <v/>
      </c>
      <c r="C181" s="14" t="str">
        <f>IF(OR(A181="",$B$2=""),"", 177)</f>
        <v/>
      </c>
      <c r="D181" s="15"/>
      <c r="E181" s="14"/>
      <c r="F181" s="13"/>
      <c r="G181" s="14"/>
      <c r="H181" s="14"/>
      <c r="I181" s="14"/>
      <c r="J181" s="14"/>
      <c r="K181" s="14"/>
      <c r="L181" s="16"/>
      <c r="M181" s="16"/>
    </row>
    <row r="182" spans="1:13" x14ac:dyDescent="0.25">
      <c r="A182" s="12"/>
      <c r="B182" s="13" t="str">
        <f t="shared" si="2"/>
        <v/>
      </c>
      <c r="C182" s="14" t="str">
        <f>IF(OR(A182="",$B$2=""),"", 178)</f>
        <v/>
      </c>
      <c r="D182" s="15"/>
      <c r="E182" s="14"/>
      <c r="F182" s="13"/>
      <c r="G182" s="14"/>
      <c r="H182" s="14"/>
      <c r="I182" s="14"/>
      <c r="J182" s="14"/>
      <c r="K182" s="14"/>
      <c r="L182" s="16"/>
      <c r="M182" s="16"/>
    </row>
    <row r="183" spans="1:13" x14ac:dyDescent="0.25">
      <c r="A183" s="12"/>
      <c r="B183" s="13" t="str">
        <f t="shared" si="2"/>
        <v/>
      </c>
      <c r="C183" s="14" t="str">
        <f>IF(OR(A183="",$B$2=""),"", 179)</f>
        <v/>
      </c>
      <c r="D183" s="15"/>
      <c r="E183" s="14"/>
      <c r="F183" s="13"/>
      <c r="G183" s="14"/>
      <c r="H183" s="14"/>
      <c r="I183" s="14"/>
      <c r="J183" s="14"/>
      <c r="K183" s="14"/>
      <c r="L183" s="16"/>
      <c r="M183" s="16"/>
    </row>
    <row r="184" spans="1:13" x14ac:dyDescent="0.25">
      <c r="A184" s="12"/>
      <c r="B184" s="13" t="str">
        <f t="shared" si="2"/>
        <v/>
      </c>
      <c r="C184" s="14" t="str">
        <f>IF(OR(A184="",$B$2=""),"", 180)</f>
        <v/>
      </c>
      <c r="D184" s="15"/>
      <c r="E184" s="14"/>
      <c r="F184" s="13"/>
      <c r="G184" s="14"/>
      <c r="H184" s="14"/>
      <c r="I184" s="14"/>
      <c r="J184" s="14"/>
      <c r="K184" s="14"/>
      <c r="L184" s="16"/>
      <c r="M184" s="16"/>
    </row>
    <row r="185" spans="1:13" x14ac:dyDescent="0.25">
      <c r="A185" s="12"/>
      <c r="B185" s="13" t="str">
        <f t="shared" si="2"/>
        <v/>
      </c>
      <c r="C185" s="14" t="str">
        <f>IF(OR(A185="",$B$2=""),"", 181)</f>
        <v/>
      </c>
      <c r="D185" s="15"/>
      <c r="E185" s="14"/>
      <c r="F185" s="13"/>
      <c r="G185" s="14"/>
      <c r="H185" s="14"/>
      <c r="I185" s="14"/>
      <c r="J185" s="14"/>
      <c r="K185" s="14"/>
      <c r="L185" s="16"/>
      <c r="M185" s="16"/>
    </row>
    <row r="186" spans="1:13" x14ac:dyDescent="0.25">
      <c r="A186" s="12"/>
      <c r="B186" s="13" t="str">
        <f t="shared" si="2"/>
        <v/>
      </c>
      <c r="C186" s="14" t="str">
        <f>IF(OR(A186="",$B$2=""),"", 182)</f>
        <v/>
      </c>
      <c r="D186" s="15"/>
      <c r="E186" s="14"/>
      <c r="F186" s="13"/>
      <c r="G186" s="14"/>
      <c r="H186" s="14"/>
      <c r="I186" s="14"/>
      <c r="J186" s="14"/>
      <c r="K186" s="14"/>
      <c r="L186" s="16"/>
      <c r="M186" s="16"/>
    </row>
    <row r="187" spans="1:13" x14ac:dyDescent="0.25">
      <c r="A187" s="12"/>
      <c r="B187" s="13" t="str">
        <f t="shared" si="2"/>
        <v/>
      </c>
      <c r="C187" s="14" t="str">
        <f>IF(OR(A187="",$B$2=""),"", 183)</f>
        <v/>
      </c>
      <c r="D187" s="15"/>
      <c r="E187" s="14"/>
      <c r="F187" s="13"/>
      <c r="G187" s="14"/>
      <c r="H187" s="14"/>
      <c r="I187" s="14"/>
      <c r="J187" s="14"/>
      <c r="K187" s="14"/>
      <c r="L187" s="16"/>
      <c r="M187" s="16"/>
    </row>
    <row r="188" spans="1:13" x14ac:dyDescent="0.25">
      <c r="A188" s="12"/>
      <c r="B188" s="13" t="str">
        <f t="shared" si="2"/>
        <v/>
      </c>
      <c r="C188" s="14" t="str">
        <f>IF(OR(A188="",$B$2=""),"", 184)</f>
        <v/>
      </c>
      <c r="D188" s="15"/>
      <c r="E188" s="14"/>
      <c r="F188" s="13"/>
      <c r="G188" s="14"/>
      <c r="H188" s="14"/>
      <c r="I188" s="14"/>
      <c r="J188" s="14"/>
      <c r="K188" s="14"/>
      <c r="L188" s="16"/>
      <c r="M188" s="16"/>
    </row>
    <row r="189" spans="1:13" x14ac:dyDescent="0.25">
      <c r="A189" s="12"/>
      <c r="B189" s="13" t="str">
        <f t="shared" si="2"/>
        <v/>
      </c>
      <c r="C189" s="14" t="str">
        <f>IF(OR(A189="",$B$2=""),"", 185)</f>
        <v/>
      </c>
      <c r="D189" s="15"/>
      <c r="E189" s="14"/>
      <c r="F189" s="13"/>
      <c r="G189" s="14"/>
      <c r="H189" s="14"/>
      <c r="I189" s="14"/>
      <c r="J189" s="14"/>
      <c r="K189" s="14"/>
      <c r="L189" s="16"/>
      <c r="M189" s="16"/>
    </row>
    <row r="190" spans="1:13" x14ac:dyDescent="0.25">
      <c r="A190" s="12"/>
      <c r="B190" s="13" t="str">
        <f t="shared" si="2"/>
        <v/>
      </c>
      <c r="C190" s="14" t="str">
        <f>IF(OR(A190="",$B$2=""),"", 186)</f>
        <v/>
      </c>
      <c r="D190" s="15"/>
      <c r="E190" s="14"/>
      <c r="F190" s="13"/>
      <c r="G190" s="14"/>
      <c r="H190" s="14"/>
      <c r="I190" s="14"/>
      <c r="J190" s="14"/>
      <c r="K190" s="14"/>
      <c r="L190" s="16"/>
      <c r="M190" s="16"/>
    </row>
    <row r="191" spans="1:13" x14ac:dyDescent="0.25">
      <c r="A191" s="12"/>
      <c r="B191" s="13" t="str">
        <f t="shared" si="2"/>
        <v/>
      </c>
      <c r="C191" s="14" t="str">
        <f>IF(OR(A191="",$B$2=""),"", 187)</f>
        <v/>
      </c>
      <c r="D191" s="15"/>
      <c r="E191" s="14"/>
      <c r="F191" s="13"/>
      <c r="G191" s="14"/>
      <c r="H191" s="14"/>
      <c r="I191" s="14"/>
      <c r="J191" s="14"/>
      <c r="K191" s="14"/>
      <c r="L191" s="16"/>
      <c r="M191" s="16"/>
    </row>
    <row r="192" spans="1:13" x14ac:dyDescent="0.25">
      <c r="A192" s="12"/>
      <c r="B192" s="13" t="str">
        <f t="shared" si="2"/>
        <v/>
      </c>
      <c r="C192" s="14" t="str">
        <f>IF(OR(A192="",$B$2=""),"", 188)</f>
        <v/>
      </c>
      <c r="D192" s="15"/>
      <c r="E192" s="14"/>
      <c r="F192" s="13"/>
      <c r="G192" s="14"/>
      <c r="H192" s="14"/>
      <c r="I192" s="14"/>
      <c r="J192" s="14"/>
      <c r="K192" s="14"/>
      <c r="L192" s="16"/>
      <c r="M192" s="16"/>
    </row>
    <row r="193" spans="1:13" x14ac:dyDescent="0.25">
      <c r="A193" s="12"/>
      <c r="B193" s="13" t="str">
        <f t="shared" si="2"/>
        <v/>
      </c>
      <c r="C193" s="14" t="str">
        <f>IF(OR(A193="",$B$2=""),"", 189)</f>
        <v/>
      </c>
      <c r="D193" s="15"/>
      <c r="E193" s="14"/>
      <c r="F193" s="13"/>
      <c r="G193" s="14"/>
      <c r="H193" s="14"/>
      <c r="I193" s="14"/>
      <c r="J193" s="14"/>
      <c r="K193" s="14"/>
      <c r="L193" s="16"/>
      <c r="M193" s="16"/>
    </row>
    <row r="194" spans="1:13" x14ac:dyDescent="0.25">
      <c r="A194" s="12"/>
      <c r="B194" s="13" t="str">
        <f t="shared" si="2"/>
        <v/>
      </c>
      <c r="C194" s="14" t="str">
        <f>IF(OR(A194="",$B$2=""),"", 190)</f>
        <v/>
      </c>
      <c r="D194" s="15"/>
      <c r="E194" s="14"/>
      <c r="F194" s="13"/>
      <c r="G194" s="14"/>
      <c r="H194" s="14"/>
      <c r="I194" s="14"/>
      <c r="J194" s="14"/>
      <c r="K194" s="14"/>
      <c r="L194" s="16"/>
      <c r="M194" s="16"/>
    </row>
    <row r="195" spans="1:13" x14ac:dyDescent="0.25">
      <c r="A195" s="12"/>
      <c r="B195" s="13" t="str">
        <f t="shared" si="2"/>
        <v/>
      </c>
      <c r="C195" s="14" t="str">
        <f>IF(OR(A195="",$B$2=""),"", 191)</f>
        <v/>
      </c>
      <c r="D195" s="15"/>
      <c r="E195" s="14"/>
      <c r="F195" s="13"/>
      <c r="G195" s="14"/>
      <c r="H195" s="14"/>
      <c r="I195" s="14"/>
      <c r="J195" s="14"/>
      <c r="K195" s="14"/>
      <c r="L195" s="16"/>
      <c r="M195" s="16"/>
    </row>
    <row r="196" spans="1:13" x14ac:dyDescent="0.25">
      <c r="A196" s="12"/>
      <c r="B196" s="13" t="str">
        <f t="shared" si="2"/>
        <v/>
      </c>
      <c r="C196" s="14" t="str">
        <f>IF(OR(A196="",$B$2=""),"", 192)</f>
        <v/>
      </c>
      <c r="D196" s="15"/>
      <c r="E196" s="14"/>
      <c r="F196" s="13"/>
      <c r="G196" s="14"/>
      <c r="H196" s="14"/>
      <c r="I196" s="14"/>
      <c r="J196" s="14"/>
      <c r="K196" s="14"/>
      <c r="L196" s="16"/>
      <c r="M196" s="16"/>
    </row>
    <row r="197" spans="1:13" x14ac:dyDescent="0.25">
      <c r="A197" s="12"/>
      <c r="B197" s="13" t="str">
        <f t="shared" si="2"/>
        <v/>
      </c>
      <c r="C197" s="14" t="str">
        <f>IF(OR(A197="",$B$2=""),"", 193)</f>
        <v/>
      </c>
      <c r="D197" s="15"/>
      <c r="E197" s="14"/>
      <c r="F197" s="13"/>
      <c r="G197" s="14"/>
      <c r="H197" s="14"/>
      <c r="I197" s="14"/>
      <c r="J197" s="14"/>
      <c r="K197" s="14"/>
      <c r="L197" s="16"/>
      <c r="M197" s="16"/>
    </row>
    <row r="198" spans="1:13" x14ac:dyDescent="0.25">
      <c r="A198" s="12"/>
      <c r="B198" s="13" t="str">
        <f t="shared" si="2"/>
        <v/>
      </c>
      <c r="C198" s="14" t="str">
        <f>IF(OR(A198="",$B$2=""),"", 194)</f>
        <v/>
      </c>
      <c r="D198" s="15"/>
      <c r="E198" s="14"/>
      <c r="F198" s="13"/>
      <c r="G198" s="14"/>
      <c r="H198" s="14"/>
      <c r="I198" s="14"/>
      <c r="J198" s="14"/>
      <c r="K198" s="14"/>
      <c r="L198" s="16"/>
      <c r="M198" s="16"/>
    </row>
    <row r="199" spans="1:13" x14ac:dyDescent="0.25">
      <c r="A199" s="12"/>
      <c r="B199" s="13" t="str">
        <f t="shared" si="2"/>
        <v/>
      </c>
      <c r="C199" s="14" t="str">
        <f>IF(OR(A199="",$B$2=""),"", 195)</f>
        <v/>
      </c>
      <c r="D199" s="15"/>
      <c r="E199" s="14"/>
      <c r="F199" s="13"/>
      <c r="G199" s="14"/>
      <c r="H199" s="14"/>
      <c r="I199" s="14"/>
      <c r="J199" s="14"/>
      <c r="K199" s="14"/>
      <c r="L199" s="16"/>
      <c r="M199" s="16"/>
    </row>
    <row r="200" spans="1:13" x14ac:dyDescent="0.25">
      <c r="A200" s="12"/>
      <c r="B200" s="13" t="str">
        <f t="shared" si="2"/>
        <v/>
      </c>
      <c r="C200" s="14" t="str">
        <f>IF(OR(A200="",$B$2=""),"", 196)</f>
        <v/>
      </c>
      <c r="D200" s="15"/>
      <c r="E200" s="14"/>
      <c r="F200" s="13"/>
      <c r="G200" s="14"/>
      <c r="H200" s="14"/>
      <c r="I200" s="14"/>
      <c r="J200" s="14"/>
      <c r="K200" s="14"/>
      <c r="L200" s="16"/>
      <c r="M200" s="16"/>
    </row>
    <row r="201" spans="1:13" x14ac:dyDescent="0.25">
      <c r="A201" s="12"/>
      <c r="B201" s="13" t="str">
        <f t="shared" si="2"/>
        <v/>
      </c>
      <c r="C201" s="14" t="str">
        <f>IF(OR(A201="",$B$2=""),"", 197)</f>
        <v/>
      </c>
      <c r="D201" s="15"/>
      <c r="E201" s="14"/>
      <c r="F201" s="13"/>
      <c r="G201" s="14"/>
      <c r="H201" s="14"/>
      <c r="I201" s="14"/>
      <c r="J201" s="14"/>
      <c r="K201" s="14"/>
      <c r="L201" s="16"/>
      <c r="M201" s="16"/>
    </row>
    <row r="202" spans="1:13" x14ac:dyDescent="0.25">
      <c r="A202" s="12"/>
      <c r="B202" s="13" t="str">
        <f t="shared" si="2"/>
        <v/>
      </c>
      <c r="C202" s="14" t="str">
        <f>IF(OR(A202="",$B$2=""),"", 198)</f>
        <v/>
      </c>
      <c r="D202" s="15"/>
      <c r="E202" s="14"/>
      <c r="F202" s="13"/>
      <c r="G202" s="14"/>
      <c r="H202" s="14"/>
      <c r="I202" s="14"/>
      <c r="J202" s="14"/>
      <c r="K202" s="14"/>
      <c r="L202" s="16"/>
      <c r="M202" s="16"/>
    </row>
    <row r="203" spans="1:13" x14ac:dyDescent="0.25">
      <c r="A203" s="12"/>
      <c r="B203" s="13" t="str">
        <f t="shared" si="2"/>
        <v/>
      </c>
      <c r="C203" s="14" t="str">
        <f>IF(OR(A203="",$B$2=""),"", 199)</f>
        <v/>
      </c>
      <c r="D203" s="15"/>
      <c r="E203" s="14"/>
      <c r="F203" s="13"/>
      <c r="G203" s="14"/>
      <c r="H203" s="14"/>
      <c r="I203" s="14"/>
      <c r="J203" s="14"/>
      <c r="K203" s="14"/>
      <c r="L203" s="16"/>
      <c r="M203" s="16"/>
    </row>
    <row r="204" spans="1:13" x14ac:dyDescent="0.25">
      <c r="A204" s="12"/>
      <c r="B204" s="13" t="str">
        <f t="shared" si="2"/>
        <v/>
      </c>
      <c r="C204" s="14" t="str">
        <f>IF(OR(A204="",$B$2=""),"", 200)</f>
        <v/>
      </c>
      <c r="D204" s="15"/>
      <c r="E204" s="14"/>
      <c r="F204" s="13"/>
      <c r="G204" s="14"/>
      <c r="H204" s="14"/>
      <c r="I204" s="14"/>
      <c r="J204" s="14"/>
      <c r="K204" s="14"/>
      <c r="L204" s="16"/>
      <c r="M204" s="16"/>
    </row>
    <row r="205" spans="1:13" x14ac:dyDescent="0.25">
      <c r="A205" s="12"/>
      <c r="B205" s="13" t="str">
        <f t="shared" si="2"/>
        <v/>
      </c>
      <c r="C205" s="14" t="str">
        <f>IF(OR(A205="",$B$2=""),"", 201)</f>
        <v/>
      </c>
      <c r="D205" s="15"/>
      <c r="E205" s="14"/>
      <c r="F205" s="13"/>
      <c r="G205" s="14"/>
      <c r="H205" s="14"/>
      <c r="I205" s="14"/>
      <c r="J205" s="14"/>
      <c r="K205" s="14"/>
      <c r="L205" s="16"/>
      <c r="M205" s="16"/>
    </row>
    <row r="206" spans="1:13" x14ac:dyDescent="0.25">
      <c r="A206" s="12"/>
      <c r="B206" s="13" t="str">
        <f t="shared" si="2"/>
        <v/>
      </c>
      <c r="C206" s="14" t="str">
        <f>IF(OR(A206="",$B$2=""),"", 202)</f>
        <v/>
      </c>
      <c r="D206" s="15"/>
      <c r="E206" s="14"/>
      <c r="F206" s="13"/>
      <c r="G206" s="14"/>
      <c r="H206" s="14"/>
      <c r="I206" s="14"/>
      <c r="J206" s="14"/>
      <c r="K206" s="14"/>
      <c r="L206" s="16"/>
      <c r="M206" s="16"/>
    </row>
    <row r="207" spans="1:13" x14ac:dyDescent="0.25">
      <c r="A207" s="12"/>
      <c r="B207" s="13" t="str">
        <f t="shared" si="2"/>
        <v/>
      </c>
      <c r="C207" s="14" t="str">
        <f>IF(OR(A207="",$B$2=""),"", 203)</f>
        <v/>
      </c>
      <c r="D207" s="15"/>
      <c r="E207" s="14"/>
      <c r="F207" s="13"/>
      <c r="G207" s="14"/>
      <c r="H207" s="14"/>
      <c r="I207" s="14"/>
      <c r="J207" s="14"/>
      <c r="K207" s="14"/>
      <c r="L207" s="16"/>
      <c r="M207" s="16"/>
    </row>
    <row r="208" spans="1:13" x14ac:dyDescent="0.25">
      <c r="A208" s="12"/>
      <c r="B208" s="13" t="str">
        <f t="shared" si="2"/>
        <v/>
      </c>
      <c r="C208" s="14" t="str">
        <f>IF(OR(A208="",$B$2=""),"", 204)</f>
        <v/>
      </c>
      <c r="D208" s="15"/>
      <c r="E208" s="14"/>
      <c r="F208" s="13"/>
      <c r="G208" s="14"/>
      <c r="H208" s="14"/>
      <c r="I208" s="14"/>
      <c r="J208" s="14"/>
      <c r="K208" s="14"/>
      <c r="L208" s="16"/>
      <c r="M208" s="16"/>
    </row>
    <row r="209" spans="1:13" x14ac:dyDescent="0.25">
      <c r="A209" s="12"/>
      <c r="B209" s="13" t="str">
        <f t="shared" si="2"/>
        <v/>
      </c>
      <c r="C209" s="14" t="str">
        <f>IF(OR(A209="",$B$2=""),"", 205)</f>
        <v/>
      </c>
      <c r="D209" s="15"/>
      <c r="E209" s="14"/>
      <c r="F209" s="13"/>
      <c r="G209" s="14"/>
      <c r="H209" s="14"/>
      <c r="I209" s="14"/>
      <c r="J209" s="14"/>
      <c r="K209" s="14"/>
      <c r="L209" s="16"/>
      <c r="M209" s="16"/>
    </row>
    <row r="210" spans="1:13" x14ac:dyDescent="0.25">
      <c r="A210" s="12"/>
      <c r="B210" s="13" t="str">
        <f t="shared" ref="B210:B273" si="3">IF(OR(A210="",$B$2=""),"", (A210-$B$2)*1440)</f>
        <v/>
      </c>
      <c r="C210" s="14" t="str">
        <f>IF(OR(A210="",$B$2=""),"", 206)</f>
        <v/>
      </c>
      <c r="D210" s="15"/>
      <c r="E210" s="14"/>
      <c r="F210" s="13"/>
      <c r="G210" s="14"/>
      <c r="H210" s="14"/>
      <c r="I210" s="14"/>
      <c r="J210" s="14"/>
      <c r="K210" s="14"/>
      <c r="L210" s="16"/>
      <c r="M210" s="16"/>
    </row>
    <row r="211" spans="1:13" x14ac:dyDescent="0.25">
      <c r="A211" s="12"/>
      <c r="B211" s="13" t="str">
        <f t="shared" si="3"/>
        <v/>
      </c>
      <c r="C211" s="14" t="str">
        <f>IF(OR(A211="",$B$2=""),"", 207)</f>
        <v/>
      </c>
      <c r="D211" s="15"/>
      <c r="E211" s="14"/>
      <c r="F211" s="13"/>
      <c r="G211" s="14"/>
      <c r="H211" s="14"/>
      <c r="I211" s="14"/>
      <c r="J211" s="14"/>
      <c r="K211" s="14"/>
      <c r="L211" s="16"/>
      <c r="M211" s="16"/>
    </row>
    <row r="212" spans="1:13" x14ac:dyDescent="0.25">
      <c r="A212" s="12"/>
      <c r="B212" s="13" t="str">
        <f t="shared" si="3"/>
        <v/>
      </c>
      <c r="C212" s="14" t="str">
        <f>IF(OR(A212="",$B$2=""),"", 208)</f>
        <v/>
      </c>
      <c r="D212" s="15"/>
      <c r="E212" s="14"/>
      <c r="F212" s="13"/>
      <c r="G212" s="14"/>
      <c r="H212" s="14"/>
      <c r="I212" s="14"/>
      <c r="J212" s="14"/>
      <c r="K212" s="14"/>
      <c r="L212" s="16"/>
      <c r="M212" s="16"/>
    </row>
    <row r="213" spans="1:13" x14ac:dyDescent="0.25">
      <c r="A213" s="12"/>
      <c r="B213" s="13" t="str">
        <f t="shared" si="3"/>
        <v/>
      </c>
      <c r="C213" s="14" t="str">
        <f>IF(OR(A213="",$B$2=""),"", 209)</f>
        <v/>
      </c>
      <c r="D213" s="15"/>
      <c r="E213" s="14"/>
      <c r="F213" s="13"/>
      <c r="G213" s="14"/>
      <c r="H213" s="14"/>
      <c r="I213" s="14"/>
      <c r="J213" s="14"/>
      <c r="K213" s="14"/>
      <c r="L213" s="16"/>
      <c r="M213" s="16"/>
    </row>
    <row r="214" spans="1:13" x14ac:dyDescent="0.25">
      <c r="A214" s="12"/>
      <c r="B214" s="13" t="str">
        <f t="shared" si="3"/>
        <v/>
      </c>
      <c r="C214" s="14" t="str">
        <f>IF(OR(A214="",$B$2=""),"", 210)</f>
        <v/>
      </c>
      <c r="D214" s="15"/>
      <c r="E214" s="14"/>
      <c r="F214" s="13"/>
      <c r="G214" s="14"/>
      <c r="H214" s="14"/>
      <c r="I214" s="14"/>
      <c r="J214" s="14"/>
      <c r="K214" s="14"/>
      <c r="L214" s="16"/>
      <c r="M214" s="16"/>
    </row>
    <row r="215" spans="1:13" x14ac:dyDescent="0.25">
      <c r="A215" s="12"/>
      <c r="B215" s="13" t="str">
        <f t="shared" si="3"/>
        <v/>
      </c>
      <c r="C215" s="14" t="str">
        <f>IF(OR(A215="",$B$2=""),"", 211)</f>
        <v/>
      </c>
      <c r="D215" s="15"/>
      <c r="E215" s="14"/>
      <c r="F215" s="13"/>
      <c r="G215" s="14"/>
      <c r="H215" s="14"/>
      <c r="I215" s="14"/>
      <c r="J215" s="14"/>
      <c r="K215" s="14"/>
      <c r="L215" s="16"/>
      <c r="M215" s="16"/>
    </row>
    <row r="216" spans="1:13" x14ac:dyDescent="0.25">
      <c r="A216" s="12"/>
      <c r="B216" s="13" t="str">
        <f t="shared" si="3"/>
        <v/>
      </c>
      <c r="C216" s="14" t="str">
        <f>IF(OR(A216="",$B$2=""),"", 212)</f>
        <v/>
      </c>
      <c r="D216" s="15"/>
      <c r="E216" s="14"/>
      <c r="F216" s="13"/>
      <c r="G216" s="14"/>
      <c r="H216" s="14"/>
      <c r="I216" s="14"/>
      <c r="J216" s="14"/>
      <c r="K216" s="14"/>
      <c r="L216" s="16"/>
      <c r="M216" s="16"/>
    </row>
    <row r="217" spans="1:13" x14ac:dyDescent="0.25">
      <c r="A217" s="12"/>
      <c r="B217" s="13" t="str">
        <f t="shared" si="3"/>
        <v/>
      </c>
      <c r="C217" s="14" t="str">
        <f>IF(OR(A217="",$B$2=""),"", 213)</f>
        <v/>
      </c>
      <c r="D217" s="15"/>
      <c r="E217" s="14"/>
      <c r="F217" s="13"/>
      <c r="G217" s="14"/>
      <c r="H217" s="14"/>
      <c r="I217" s="14"/>
      <c r="J217" s="14"/>
      <c r="K217" s="14"/>
      <c r="L217" s="16"/>
      <c r="M217" s="16"/>
    </row>
    <row r="218" spans="1:13" x14ac:dyDescent="0.25">
      <c r="A218" s="12"/>
      <c r="B218" s="13" t="str">
        <f t="shared" si="3"/>
        <v/>
      </c>
      <c r="C218" s="14" t="str">
        <f>IF(OR(A218="",$B$2=""),"", 214)</f>
        <v/>
      </c>
      <c r="D218" s="15"/>
      <c r="E218" s="14"/>
      <c r="F218" s="13"/>
      <c r="G218" s="14"/>
      <c r="H218" s="14"/>
      <c r="I218" s="14"/>
      <c r="J218" s="14"/>
      <c r="K218" s="14"/>
      <c r="L218" s="16"/>
      <c r="M218" s="16"/>
    </row>
    <row r="219" spans="1:13" x14ac:dyDescent="0.25">
      <c r="A219" s="12"/>
      <c r="B219" s="13" t="str">
        <f t="shared" si="3"/>
        <v/>
      </c>
      <c r="C219" s="14" t="str">
        <f>IF(OR(A219="",$B$2=""),"", 215)</f>
        <v/>
      </c>
      <c r="D219" s="15"/>
      <c r="E219" s="14"/>
      <c r="F219" s="13"/>
      <c r="G219" s="14"/>
      <c r="H219" s="14"/>
      <c r="I219" s="14"/>
      <c r="J219" s="14"/>
      <c r="K219" s="14"/>
      <c r="L219" s="16"/>
      <c r="M219" s="16"/>
    </row>
    <row r="220" spans="1:13" x14ac:dyDescent="0.25">
      <c r="A220" s="12"/>
      <c r="B220" s="13" t="str">
        <f t="shared" si="3"/>
        <v/>
      </c>
      <c r="C220" s="14" t="str">
        <f>IF(OR(A220="",$B$2=""),"", 216)</f>
        <v/>
      </c>
      <c r="D220" s="15"/>
      <c r="E220" s="14"/>
      <c r="F220" s="13"/>
      <c r="G220" s="14"/>
      <c r="H220" s="14"/>
      <c r="I220" s="14"/>
      <c r="J220" s="14"/>
      <c r="K220" s="14"/>
      <c r="L220" s="16"/>
      <c r="M220" s="16"/>
    </row>
    <row r="221" spans="1:13" x14ac:dyDescent="0.25">
      <c r="A221" s="12"/>
      <c r="B221" s="13" t="str">
        <f t="shared" si="3"/>
        <v/>
      </c>
      <c r="C221" s="14" t="str">
        <f>IF(OR(A221="",$B$2=""),"", 217)</f>
        <v/>
      </c>
      <c r="D221" s="15"/>
      <c r="E221" s="14"/>
      <c r="F221" s="13"/>
      <c r="G221" s="14"/>
      <c r="H221" s="14"/>
      <c r="I221" s="14"/>
      <c r="J221" s="14"/>
      <c r="K221" s="14"/>
      <c r="L221" s="16"/>
      <c r="M221" s="16"/>
    </row>
    <row r="222" spans="1:13" x14ac:dyDescent="0.25">
      <c r="A222" s="12"/>
      <c r="B222" s="13" t="str">
        <f t="shared" si="3"/>
        <v/>
      </c>
      <c r="C222" s="14" t="str">
        <f>IF(OR(A222="",$B$2=""),"", 218)</f>
        <v/>
      </c>
      <c r="D222" s="15"/>
      <c r="E222" s="14"/>
      <c r="F222" s="13"/>
      <c r="G222" s="14"/>
      <c r="H222" s="14"/>
      <c r="I222" s="14"/>
      <c r="J222" s="14"/>
      <c r="K222" s="14"/>
      <c r="L222" s="16"/>
      <c r="M222" s="16"/>
    </row>
    <row r="223" spans="1:13" x14ac:dyDescent="0.25">
      <c r="A223" s="12"/>
      <c r="B223" s="13" t="str">
        <f t="shared" si="3"/>
        <v/>
      </c>
      <c r="C223" s="14" t="str">
        <f>IF(OR(A223="",$B$2=""),"", 219)</f>
        <v/>
      </c>
      <c r="D223" s="15"/>
      <c r="E223" s="14"/>
      <c r="F223" s="13"/>
      <c r="G223" s="14"/>
      <c r="H223" s="14"/>
      <c r="I223" s="14"/>
      <c r="J223" s="14"/>
      <c r="K223" s="14"/>
      <c r="L223" s="16"/>
      <c r="M223" s="16"/>
    </row>
    <row r="224" spans="1:13" x14ac:dyDescent="0.25">
      <c r="A224" s="12"/>
      <c r="B224" s="13" t="str">
        <f t="shared" si="3"/>
        <v/>
      </c>
      <c r="C224" s="14" t="str">
        <f>IF(OR(A224="",$B$2=""),"", 220)</f>
        <v/>
      </c>
      <c r="D224" s="15"/>
      <c r="E224" s="14"/>
      <c r="F224" s="13"/>
      <c r="G224" s="14"/>
      <c r="H224" s="14"/>
      <c r="I224" s="14"/>
      <c r="J224" s="14"/>
      <c r="K224" s="14"/>
      <c r="L224" s="16"/>
      <c r="M224" s="16"/>
    </row>
    <row r="225" spans="1:13" x14ac:dyDescent="0.25">
      <c r="A225" s="12"/>
      <c r="B225" s="13" t="str">
        <f t="shared" si="3"/>
        <v/>
      </c>
      <c r="C225" s="14" t="str">
        <f>IF(OR(A225="",$B$2=""),"", 221)</f>
        <v/>
      </c>
      <c r="D225" s="15"/>
      <c r="E225" s="14"/>
      <c r="F225" s="13"/>
      <c r="G225" s="14"/>
      <c r="H225" s="14"/>
      <c r="I225" s="14"/>
      <c r="J225" s="14"/>
      <c r="K225" s="14"/>
      <c r="L225" s="16"/>
      <c r="M225" s="16"/>
    </row>
    <row r="226" spans="1:13" x14ac:dyDescent="0.25">
      <c r="A226" s="12"/>
      <c r="B226" s="13" t="str">
        <f t="shared" si="3"/>
        <v/>
      </c>
      <c r="C226" s="14" t="str">
        <f>IF(OR(A226="",$B$2=""),"", 222)</f>
        <v/>
      </c>
      <c r="D226" s="15"/>
      <c r="E226" s="14"/>
      <c r="F226" s="13"/>
      <c r="G226" s="14"/>
      <c r="H226" s="14"/>
      <c r="I226" s="14"/>
      <c r="J226" s="14"/>
      <c r="K226" s="14"/>
      <c r="L226" s="16"/>
      <c r="M226" s="16"/>
    </row>
    <row r="227" spans="1:13" x14ac:dyDescent="0.25">
      <c r="A227" s="12"/>
      <c r="B227" s="13" t="str">
        <f t="shared" si="3"/>
        <v/>
      </c>
      <c r="C227" s="14" t="str">
        <f>IF(OR(A227="",$B$2=""),"", 223)</f>
        <v/>
      </c>
      <c r="D227" s="15"/>
      <c r="E227" s="14"/>
      <c r="F227" s="13"/>
      <c r="G227" s="14"/>
      <c r="H227" s="14"/>
      <c r="I227" s="14"/>
      <c r="J227" s="14"/>
      <c r="K227" s="14"/>
      <c r="L227" s="16"/>
      <c r="M227" s="16"/>
    </row>
    <row r="228" spans="1:13" x14ac:dyDescent="0.25">
      <c r="A228" s="12"/>
      <c r="B228" s="13" t="str">
        <f t="shared" si="3"/>
        <v/>
      </c>
      <c r="C228" s="14" t="str">
        <f>IF(OR(A228="",$B$2=""),"", 224)</f>
        <v/>
      </c>
      <c r="D228" s="15"/>
      <c r="E228" s="14"/>
      <c r="F228" s="13"/>
      <c r="G228" s="14"/>
      <c r="H228" s="14"/>
      <c r="I228" s="14"/>
      <c r="J228" s="14"/>
      <c r="K228" s="14"/>
      <c r="L228" s="16"/>
      <c r="M228" s="16"/>
    </row>
    <row r="229" spans="1:13" x14ac:dyDescent="0.25">
      <c r="A229" s="12"/>
      <c r="B229" s="13" t="str">
        <f t="shared" si="3"/>
        <v/>
      </c>
      <c r="C229" s="14" t="str">
        <f>IF(OR(A229="",$B$2=""),"", 225)</f>
        <v/>
      </c>
      <c r="D229" s="15"/>
      <c r="E229" s="14"/>
      <c r="F229" s="13"/>
      <c r="G229" s="14"/>
      <c r="H229" s="14"/>
      <c r="I229" s="14"/>
      <c r="J229" s="14"/>
      <c r="K229" s="14"/>
      <c r="L229" s="16"/>
      <c r="M229" s="16"/>
    </row>
    <row r="230" spans="1:13" x14ac:dyDescent="0.25">
      <c r="A230" s="12"/>
      <c r="B230" s="13" t="str">
        <f t="shared" si="3"/>
        <v/>
      </c>
      <c r="C230" s="14" t="str">
        <f>IF(OR(A230="",$B$2=""),"", 226)</f>
        <v/>
      </c>
      <c r="D230" s="15"/>
      <c r="E230" s="14"/>
      <c r="F230" s="13"/>
      <c r="G230" s="14"/>
      <c r="H230" s="14"/>
      <c r="I230" s="14"/>
      <c r="J230" s="14"/>
      <c r="K230" s="14"/>
      <c r="L230" s="16"/>
      <c r="M230" s="16"/>
    </row>
    <row r="231" spans="1:13" x14ac:dyDescent="0.25">
      <c r="A231" s="12"/>
      <c r="B231" s="13" t="str">
        <f t="shared" si="3"/>
        <v/>
      </c>
      <c r="C231" s="14" t="str">
        <f>IF(OR(A231="",$B$2=""),"", 227)</f>
        <v/>
      </c>
      <c r="D231" s="15"/>
      <c r="E231" s="14"/>
      <c r="F231" s="13"/>
      <c r="G231" s="14"/>
      <c r="H231" s="14"/>
      <c r="I231" s="14"/>
      <c r="J231" s="14"/>
      <c r="K231" s="14"/>
      <c r="L231" s="16"/>
      <c r="M231" s="16"/>
    </row>
    <row r="232" spans="1:13" x14ac:dyDescent="0.25">
      <c r="A232" s="12"/>
      <c r="B232" s="13" t="str">
        <f t="shared" si="3"/>
        <v/>
      </c>
      <c r="C232" s="14" t="str">
        <f>IF(OR(A232="",$B$2=""),"", 228)</f>
        <v/>
      </c>
      <c r="D232" s="15"/>
      <c r="E232" s="14"/>
      <c r="F232" s="13"/>
      <c r="G232" s="14"/>
      <c r="H232" s="14"/>
      <c r="I232" s="14"/>
      <c r="J232" s="14"/>
      <c r="K232" s="14"/>
      <c r="L232" s="16"/>
      <c r="M232" s="16"/>
    </row>
    <row r="233" spans="1:13" x14ac:dyDescent="0.25">
      <c r="A233" s="12"/>
      <c r="B233" s="13" t="str">
        <f t="shared" si="3"/>
        <v/>
      </c>
      <c r="C233" s="14" t="str">
        <f>IF(OR(A233="",$B$2=""),"", 229)</f>
        <v/>
      </c>
      <c r="D233" s="15"/>
      <c r="E233" s="14"/>
      <c r="F233" s="13"/>
      <c r="G233" s="14"/>
      <c r="H233" s="14"/>
      <c r="I233" s="14"/>
      <c r="J233" s="14"/>
      <c r="K233" s="14"/>
      <c r="L233" s="16"/>
      <c r="M233" s="16"/>
    </row>
    <row r="234" spans="1:13" x14ac:dyDescent="0.25">
      <c r="A234" s="12"/>
      <c r="B234" s="13" t="str">
        <f t="shared" si="3"/>
        <v/>
      </c>
      <c r="C234" s="14" t="str">
        <f>IF(OR(A234="",$B$2=""),"", 230)</f>
        <v/>
      </c>
      <c r="D234" s="15"/>
      <c r="E234" s="14"/>
      <c r="F234" s="13"/>
      <c r="G234" s="14"/>
      <c r="H234" s="14"/>
      <c r="I234" s="14"/>
      <c r="J234" s="14"/>
      <c r="K234" s="14"/>
      <c r="L234" s="16"/>
      <c r="M234" s="16"/>
    </row>
    <row r="235" spans="1:13" x14ac:dyDescent="0.25">
      <c r="A235" s="12"/>
      <c r="B235" s="13" t="str">
        <f t="shared" si="3"/>
        <v/>
      </c>
      <c r="C235" s="14" t="str">
        <f>IF(OR(A235="",$B$2=""),"", 231)</f>
        <v/>
      </c>
      <c r="D235" s="15"/>
      <c r="E235" s="14"/>
      <c r="F235" s="13"/>
      <c r="G235" s="14"/>
      <c r="H235" s="14"/>
      <c r="I235" s="14"/>
      <c r="J235" s="14"/>
      <c r="K235" s="14"/>
      <c r="L235" s="16"/>
      <c r="M235" s="16"/>
    </row>
    <row r="236" spans="1:13" x14ac:dyDescent="0.25">
      <c r="A236" s="12"/>
      <c r="B236" s="13" t="str">
        <f t="shared" si="3"/>
        <v/>
      </c>
      <c r="C236" s="14" t="str">
        <f>IF(OR(A236="",$B$2=""),"", 232)</f>
        <v/>
      </c>
      <c r="D236" s="15"/>
      <c r="E236" s="14"/>
      <c r="F236" s="13"/>
      <c r="G236" s="14"/>
      <c r="H236" s="14"/>
      <c r="I236" s="14"/>
      <c r="J236" s="14"/>
      <c r="K236" s="14"/>
      <c r="L236" s="16"/>
      <c r="M236" s="16"/>
    </row>
    <row r="237" spans="1:13" x14ac:dyDescent="0.25">
      <c r="A237" s="12"/>
      <c r="B237" s="13" t="str">
        <f t="shared" si="3"/>
        <v/>
      </c>
      <c r="C237" s="14" t="str">
        <f>IF(OR(A237="",$B$2=""),"", 233)</f>
        <v/>
      </c>
      <c r="D237" s="15"/>
      <c r="E237" s="14"/>
      <c r="F237" s="13"/>
      <c r="G237" s="14"/>
      <c r="H237" s="14"/>
      <c r="I237" s="14"/>
      <c r="J237" s="14"/>
      <c r="K237" s="14"/>
      <c r="L237" s="16"/>
      <c r="M237" s="16"/>
    </row>
    <row r="238" spans="1:13" x14ac:dyDescent="0.25">
      <c r="A238" s="12"/>
      <c r="B238" s="13" t="str">
        <f t="shared" si="3"/>
        <v/>
      </c>
      <c r="C238" s="14" t="str">
        <f>IF(OR(A238="",$B$2=""),"", 234)</f>
        <v/>
      </c>
      <c r="D238" s="15"/>
      <c r="E238" s="14"/>
      <c r="F238" s="13"/>
      <c r="G238" s="14"/>
      <c r="H238" s="14"/>
      <c r="I238" s="14"/>
      <c r="J238" s="14"/>
      <c r="K238" s="14"/>
      <c r="L238" s="16"/>
      <c r="M238" s="16"/>
    </row>
    <row r="239" spans="1:13" x14ac:dyDescent="0.25">
      <c r="A239" s="12"/>
      <c r="B239" s="13" t="str">
        <f t="shared" si="3"/>
        <v/>
      </c>
      <c r="C239" s="14" t="str">
        <f>IF(OR(A239="",$B$2=""),"", 235)</f>
        <v/>
      </c>
      <c r="D239" s="15"/>
      <c r="E239" s="14"/>
      <c r="F239" s="13"/>
      <c r="G239" s="14"/>
      <c r="H239" s="14"/>
      <c r="I239" s="14"/>
      <c r="J239" s="14"/>
      <c r="K239" s="14"/>
      <c r="L239" s="16"/>
      <c r="M239" s="16"/>
    </row>
    <row r="240" spans="1:13" x14ac:dyDescent="0.25">
      <c r="A240" s="12"/>
      <c r="B240" s="13" t="str">
        <f t="shared" si="3"/>
        <v/>
      </c>
      <c r="C240" s="14" t="str">
        <f>IF(OR(A240="",$B$2=""),"", 236)</f>
        <v/>
      </c>
      <c r="D240" s="15"/>
      <c r="E240" s="14"/>
      <c r="F240" s="13"/>
      <c r="G240" s="14"/>
      <c r="H240" s="14"/>
      <c r="I240" s="14"/>
      <c r="J240" s="14"/>
      <c r="K240" s="14"/>
      <c r="L240" s="16"/>
      <c r="M240" s="16"/>
    </row>
    <row r="241" spans="1:13" x14ac:dyDescent="0.25">
      <c r="A241" s="12"/>
      <c r="B241" s="13" t="str">
        <f t="shared" si="3"/>
        <v/>
      </c>
      <c r="C241" s="14" t="str">
        <f>IF(OR(A241="",$B$2=""),"", 237)</f>
        <v/>
      </c>
      <c r="D241" s="15"/>
      <c r="E241" s="14"/>
      <c r="F241" s="13"/>
      <c r="G241" s="14"/>
      <c r="H241" s="14"/>
      <c r="I241" s="14"/>
      <c r="J241" s="14"/>
      <c r="K241" s="14"/>
      <c r="L241" s="16"/>
      <c r="M241" s="16"/>
    </row>
    <row r="242" spans="1:13" x14ac:dyDescent="0.25">
      <c r="A242" s="12"/>
      <c r="B242" s="13" t="str">
        <f t="shared" si="3"/>
        <v/>
      </c>
      <c r="C242" s="14" t="str">
        <f>IF(OR(A242="",$B$2=""),"", 238)</f>
        <v/>
      </c>
      <c r="D242" s="15"/>
      <c r="E242" s="14"/>
      <c r="F242" s="13"/>
      <c r="G242" s="14"/>
      <c r="H242" s="14"/>
      <c r="I242" s="14"/>
      <c r="J242" s="14"/>
      <c r="K242" s="14"/>
      <c r="L242" s="16"/>
      <c r="M242" s="16"/>
    </row>
    <row r="243" spans="1:13" x14ac:dyDescent="0.25">
      <c r="A243" s="12"/>
      <c r="B243" s="13" t="str">
        <f t="shared" si="3"/>
        <v/>
      </c>
      <c r="C243" s="14" t="str">
        <f>IF(OR(A243="",$B$2=""),"", 239)</f>
        <v/>
      </c>
      <c r="D243" s="15"/>
      <c r="E243" s="14"/>
      <c r="F243" s="13"/>
      <c r="G243" s="14"/>
      <c r="H243" s="14"/>
      <c r="I243" s="14"/>
      <c r="J243" s="14"/>
      <c r="K243" s="14"/>
      <c r="L243" s="16"/>
      <c r="M243" s="16"/>
    </row>
    <row r="244" spans="1:13" x14ac:dyDescent="0.25">
      <c r="A244" s="12"/>
      <c r="B244" s="13" t="str">
        <f t="shared" si="3"/>
        <v/>
      </c>
      <c r="C244" s="14" t="str">
        <f>IF(OR(A244="",$B$2=""),"", 240)</f>
        <v/>
      </c>
      <c r="D244" s="15"/>
      <c r="E244" s="14"/>
      <c r="F244" s="13"/>
      <c r="G244" s="14"/>
      <c r="H244" s="14"/>
      <c r="I244" s="14"/>
      <c r="J244" s="14"/>
      <c r="K244" s="14"/>
      <c r="L244" s="16"/>
      <c r="M244" s="16"/>
    </row>
    <row r="245" spans="1:13" x14ac:dyDescent="0.25">
      <c r="A245" s="12"/>
      <c r="B245" s="13" t="str">
        <f t="shared" si="3"/>
        <v/>
      </c>
      <c r="C245" s="14" t="str">
        <f>IF(OR(A245="",$B$2=""),"", 241)</f>
        <v/>
      </c>
      <c r="D245" s="15"/>
      <c r="E245" s="14"/>
      <c r="F245" s="13"/>
      <c r="G245" s="14"/>
      <c r="H245" s="14"/>
      <c r="I245" s="14"/>
      <c r="J245" s="14"/>
      <c r="K245" s="14"/>
      <c r="L245" s="16"/>
      <c r="M245" s="16"/>
    </row>
    <row r="246" spans="1:13" x14ac:dyDescent="0.25">
      <c r="A246" s="12"/>
      <c r="B246" s="13" t="str">
        <f t="shared" si="3"/>
        <v/>
      </c>
      <c r="C246" s="14" t="str">
        <f>IF(OR(A246="",$B$2=""),"", 242)</f>
        <v/>
      </c>
      <c r="D246" s="15"/>
      <c r="E246" s="14"/>
      <c r="F246" s="13"/>
      <c r="G246" s="14"/>
      <c r="H246" s="14"/>
      <c r="I246" s="14"/>
      <c r="J246" s="14"/>
      <c r="K246" s="14"/>
      <c r="L246" s="16"/>
      <c r="M246" s="16"/>
    </row>
    <row r="247" spans="1:13" x14ac:dyDescent="0.25">
      <c r="A247" s="12"/>
      <c r="B247" s="13" t="str">
        <f t="shared" si="3"/>
        <v/>
      </c>
      <c r="C247" s="14" t="str">
        <f>IF(OR(A247="",$B$2=""),"", 243)</f>
        <v/>
      </c>
      <c r="D247" s="15"/>
      <c r="E247" s="14"/>
      <c r="F247" s="13"/>
      <c r="G247" s="14"/>
      <c r="H247" s="14"/>
      <c r="I247" s="14"/>
      <c r="J247" s="14"/>
      <c r="K247" s="14"/>
      <c r="L247" s="16"/>
      <c r="M247" s="16"/>
    </row>
    <row r="248" spans="1:13" x14ac:dyDescent="0.25">
      <c r="A248" s="12"/>
      <c r="B248" s="13" t="str">
        <f t="shared" si="3"/>
        <v/>
      </c>
      <c r="C248" s="14" t="str">
        <f>IF(OR(A248="",$B$2=""),"", 244)</f>
        <v/>
      </c>
      <c r="D248" s="15"/>
      <c r="E248" s="14"/>
      <c r="F248" s="13"/>
      <c r="G248" s="14"/>
      <c r="H248" s="14"/>
      <c r="I248" s="14"/>
      <c r="J248" s="14"/>
      <c r="K248" s="14"/>
      <c r="L248" s="16"/>
      <c r="M248" s="16"/>
    </row>
    <row r="249" spans="1:13" x14ac:dyDescent="0.25">
      <c r="A249" s="12"/>
      <c r="B249" s="13" t="str">
        <f t="shared" si="3"/>
        <v/>
      </c>
      <c r="C249" s="14" t="str">
        <f>IF(OR(A249="",$B$2=""),"", 245)</f>
        <v/>
      </c>
      <c r="D249" s="15"/>
      <c r="E249" s="14"/>
      <c r="F249" s="13"/>
      <c r="G249" s="14"/>
      <c r="H249" s="14"/>
      <c r="I249" s="14"/>
      <c r="J249" s="14"/>
      <c r="K249" s="14"/>
      <c r="L249" s="16"/>
      <c r="M249" s="16"/>
    </row>
    <row r="250" spans="1:13" x14ac:dyDescent="0.25">
      <c r="A250" s="12"/>
      <c r="B250" s="13" t="str">
        <f t="shared" si="3"/>
        <v/>
      </c>
      <c r="C250" s="14" t="str">
        <f>IF(OR(A250="",$B$2=""),"", 246)</f>
        <v/>
      </c>
      <c r="D250" s="15"/>
      <c r="E250" s="14"/>
      <c r="F250" s="13"/>
      <c r="G250" s="14"/>
      <c r="H250" s="14"/>
      <c r="I250" s="14"/>
      <c r="J250" s="14"/>
      <c r="K250" s="14"/>
      <c r="L250" s="16"/>
      <c r="M250" s="16"/>
    </row>
    <row r="251" spans="1:13" x14ac:dyDescent="0.25">
      <c r="A251" s="12"/>
      <c r="B251" s="13" t="str">
        <f t="shared" si="3"/>
        <v/>
      </c>
      <c r="C251" s="14" t="str">
        <f>IF(OR(A251="",$B$2=""),"", 247)</f>
        <v/>
      </c>
      <c r="D251" s="15"/>
      <c r="E251" s="14"/>
      <c r="F251" s="13"/>
      <c r="G251" s="14"/>
      <c r="H251" s="14"/>
      <c r="I251" s="14"/>
      <c r="J251" s="14"/>
      <c r="K251" s="14"/>
      <c r="L251" s="16"/>
      <c r="M251" s="16"/>
    </row>
    <row r="252" spans="1:13" x14ac:dyDescent="0.25">
      <c r="A252" s="12"/>
      <c r="B252" s="13" t="str">
        <f t="shared" si="3"/>
        <v/>
      </c>
      <c r="C252" s="14" t="str">
        <f>IF(OR(A252="",$B$2=""),"", 248)</f>
        <v/>
      </c>
      <c r="D252" s="15"/>
      <c r="E252" s="14"/>
      <c r="F252" s="13"/>
      <c r="G252" s="14"/>
      <c r="H252" s="14"/>
      <c r="I252" s="14"/>
      <c r="J252" s="14"/>
      <c r="K252" s="14"/>
      <c r="L252" s="16"/>
      <c r="M252" s="16"/>
    </row>
    <row r="253" spans="1:13" x14ac:dyDescent="0.25">
      <c r="A253" s="12"/>
      <c r="B253" s="13" t="str">
        <f t="shared" si="3"/>
        <v/>
      </c>
      <c r="C253" s="14" t="str">
        <f>IF(OR(A253="",$B$2=""),"", 249)</f>
        <v/>
      </c>
      <c r="D253" s="15"/>
      <c r="E253" s="14"/>
      <c r="F253" s="13"/>
      <c r="G253" s="14"/>
      <c r="H253" s="14"/>
      <c r="I253" s="14"/>
      <c r="J253" s="14"/>
      <c r="K253" s="14"/>
      <c r="L253" s="16"/>
      <c r="M253" s="16"/>
    </row>
    <row r="254" spans="1:13" x14ac:dyDescent="0.25">
      <c r="A254" s="12"/>
      <c r="B254" s="13" t="str">
        <f t="shared" si="3"/>
        <v/>
      </c>
      <c r="C254" s="14" t="str">
        <f>IF(OR(A254="",$B$2=""),"", 250)</f>
        <v/>
      </c>
      <c r="D254" s="15"/>
      <c r="E254" s="14"/>
      <c r="F254" s="13"/>
      <c r="G254" s="14"/>
      <c r="H254" s="14"/>
      <c r="I254" s="14"/>
      <c r="J254" s="14"/>
      <c r="K254" s="14"/>
      <c r="L254" s="16"/>
      <c r="M254" s="16"/>
    </row>
    <row r="255" spans="1:13" x14ac:dyDescent="0.25">
      <c r="A255" s="12"/>
      <c r="B255" s="13" t="str">
        <f t="shared" si="3"/>
        <v/>
      </c>
      <c r="C255" s="14" t="str">
        <f>IF(OR(A255="",$B$2=""),"", 251)</f>
        <v/>
      </c>
      <c r="D255" s="15"/>
      <c r="E255" s="14"/>
      <c r="F255" s="13"/>
      <c r="G255" s="14"/>
      <c r="H255" s="14"/>
      <c r="I255" s="14"/>
      <c r="J255" s="14"/>
      <c r="K255" s="14"/>
      <c r="L255" s="16"/>
      <c r="M255" s="16"/>
    </row>
    <row r="256" spans="1:13" x14ac:dyDescent="0.25">
      <c r="A256" s="12"/>
      <c r="B256" s="13" t="str">
        <f t="shared" si="3"/>
        <v/>
      </c>
      <c r="C256" s="14" t="str">
        <f>IF(OR(A256="",$B$2=""),"", 252)</f>
        <v/>
      </c>
      <c r="D256" s="15"/>
      <c r="E256" s="14"/>
      <c r="F256" s="13"/>
      <c r="G256" s="14"/>
      <c r="H256" s="14"/>
      <c r="I256" s="14"/>
      <c r="J256" s="14"/>
      <c r="K256" s="14"/>
      <c r="L256" s="16"/>
      <c r="M256" s="16"/>
    </row>
    <row r="257" spans="1:13" x14ac:dyDescent="0.25">
      <c r="A257" s="12"/>
      <c r="B257" s="13" t="str">
        <f t="shared" si="3"/>
        <v/>
      </c>
      <c r="C257" s="14" t="str">
        <f>IF(OR(A257="",$B$2=""),"", 253)</f>
        <v/>
      </c>
      <c r="D257" s="15"/>
      <c r="E257" s="14"/>
      <c r="F257" s="13"/>
      <c r="G257" s="14"/>
      <c r="H257" s="14"/>
      <c r="I257" s="14"/>
      <c r="J257" s="14"/>
      <c r="K257" s="14"/>
      <c r="L257" s="16"/>
      <c r="M257" s="16"/>
    </row>
    <row r="258" spans="1:13" x14ac:dyDescent="0.25">
      <c r="A258" s="12"/>
      <c r="B258" s="13" t="str">
        <f t="shared" si="3"/>
        <v/>
      </c>
      <c r="C258" s="14" t="str">
        <f>IF(OR(A258="",$B$2=""),"", 254)</f>
        <v/>
      </c>
      <c r="D258" s="15"/>
      <c r="E258" s="14"/>
      <c r="F258" s="13"/>
      <c r="G258" s="14"/>
      <c r="H258" s="14"/>
      <c r="I258" s="14"/>
      <c r="J258" s="14"/>
      <c r="K258" s="14"/>
      <c r="L258" s="16"/>
      <c r="M258" s="16"/>
    </row>
    <row r="259" spans="1:13" x14ac:dyDescent="0.25">
      <c r="A259" s="12"/>
      <c r="B259" s="13" t="str">
        <f t="shared" si="3"/>
        <v/>
      </c>
      <c r="C259" s="14" t="str">
        <f>IF(OR(A259="",$B$2=""),"", 255)</f>
        <v/>
      </c>
      <c r="D259" s="15"/>
      <c r="E259" s="14"/>
      <c r="F259" s="13"/>
      <c r="G259" s="14"/>
      <c r="H259" s="14"/>
      <c r="I259" s="14"/>
      <c r="J259" s="14"/>
      <c r="K259" s="14"/>
      <c r="L259" s="16"/>
      <c r="M259" s="16"/>
    </row>
    <row r="260" spans="1:13" x14ac:dyDescent="0.25">
      <c r="A260" s="12"/>
      <c r="B260" s="13" t="str">
        <f t="shared" si="3"/>
        <v/>
      </c>
      <c r="C260" s="14" t="str">
        <f>IF(OR(A260="",$B$2=""),"", 256)</f>
        <v/>
      </c>
      <c r="D260" s="15"/>
      <c r="E260" s="14"/>
      <c r="F260" s="13"/>
      <c r="G260" s="14"/>
      <c r="H260" s="14"/>
      <c r="I260" s="14"/>
      <c r="J260" s="14"/>
      <c r="K260" s="14"/>
      <c r="L260" s="16"/>
      <c r="M260" s="16"/>
    </row>
    <row r="261" spans="1:13" x14ac:dyDescent="0.25">
      <c r="A261" s="12"/>
      <c r="B261" s="13" t="str">
        <f t="shared" si="3"/>
        <v/>
      </c>
      <c r="C261" s="14" t="str">
        <f>IF(OR(A261="",$B$2=""),"", 257)</f>
        <v/>
      </c>
      <c r="D261" s="15"/>
      <c r="E261" s="14"/>
      <c r="F261" s="13"/>
      <c r="G261" s="14"/>
      <c r="H261" s="14"/>
      <c r="I261" s="14"/>
      <c r="J261" s="14"/>
      <c r="K261" s="14"/>
      <c r="L261" s="16"/>
      <c r="M261" s="16"/>
    </row>
    <row r="262" spans="1:13" x14ac:dyDescent="0.25">
      <c r="A262" s="12"/>
      <c r="B262" s="13" t="str">
        <f t="shared" si="3"/>
        <v/>
      </c>
      <c r="C262" s="14" t="str">
        <f>IF(OR(A262="",$B$2=""),"", 258)</f>
        <v/>
      </c>
      <c r="D262" s="15"/>
      <c r="E262" s="14"/>
      <c r="F262" s="13"/>
      <c r="G262" s="14"/>
      <c r="H262" s="14"/>
      <c r="I262" s="14"/>
      <c r="J262" s="14"/>
      <c r="K262" s="14"/>
      <c r="L262" s="16"/>
      <c r="M262" s="16"/>
    </row>
    <row r="263" spans="1:13" x14ac:dyDescent="0.25">
      <c r="A263" s="12"/>
      <c r="B263" s="13" t="str">
        <f t="shared" si="3"/>
        <v/>
      </c>
      <c r="C263" s="14" t="str">
        <f>IF(OR(A263="",$B$2=""),"", 259)</f>
        <v/>
      </c>
      <c r="D263" s="15"/>
      <c r="E263" s="14"/>
      <c r="F263" s="13"/>
      <c r="G263" s="14"/>
      <c r="H263" s="14"/>
      <c r="I263" s="14"/>
      <c r="J263" s="14"/>
      <c r="K263" s="14"/>
      <c r="L263" s="16"/>
      <c r="M263" s="16"/>
    </row>
    <row r="264" spans="1:13" x14ac:dyDescent="0.25">
      <c r="A264" s="12"/>
      <c r="B264" s="13" t="str">
        <f t="shared" si="3"/>
        <v/>
      </c>
      <c r="C264" s="14" t="str">
        <f>IF(OR(A264="",$B$2=""),"", 260)</f>
        <v/>
      </c>
      <c r="D264" s="15"/>
      <c r="E264" s="14"/>
      <c r="F264" s="13"/>
      <c r="G264" s="14"/>
      <c r="H264" s="14"/>
      <c r="I264" s="14"/>
      <c r="J264" s="14"/>
      <c r="K264" s="14"/>
      <c r="L264" s="16"/>
      <c r="M264" s="16"/>
    </row>
    <row r="265" spans="1:13" x14ac:dyDescent="0.25">
      <c r="A265" s="12"/>
      <c r="B265" s="13" t="str">
        <f t="shared" si="3"/>
        <v/>
      </c>
      <c r="C265" s="14" t="str">
        <f>IF(OR(A265="",$B$2=""),"", 261)</f>
        <v/>
      </c>
      <c r="D265" s="15"/>
      <c r="E265" s="14"/>
      <c r="F265" s="13"/>
      <c r="G265" s="14"/>
      <c r="H265" s="14"/>
      <c r="I265" s="14"/>
      <c r="J265" s="14"/>
      <c r="K265" s="14"/>
      <c r="L265" s="16"/>
      <c r="M265" s="16"/>
    </row>
    <row r="266" spans="1:13" x14ac:dyDescent="0.25">
      <c r="A266" s="12"/>
      <c r="B266" s="13" t="str">
        <f t="shared" si="3"/>
        <v/>
      </c>
      <c r="C266" s="14" t="str">
        <f>IF(OR(A266="",$B$2=""),"", 262)</f>
        <v/>
      </c>
      <c r="D266" s="15"/>
      <c r="E266" s="14"/>
      <c r="F266" s="13"/>
      <c r="G266" s="14"/>
      <c r="H266" s="14"/>
      <c r="I266" s="14"/>
      <c r="J266" s="14"/>
      <c r="K266" s="14"/>
      <c r="L266" s="16"/>
      <c r="M266" s="16"/>
    </row>
    <row r="267" spans="1:13" x14ac:dyDescent="0.25">
      <c r="A267" s="12"/>
      <c r="B267" s="13" t="str">
        <f t="shared" si="3"/>
        <v/>
      </c>
      <c r="C267" s="14" t="str">
        <f>IF(OR(A267="",$B$2=""),"", 263)</f>
        <v/>
      </c>
      <c r="D267" s="15"/>
      <c r="E267" s="14"/>
      <c r="F267" s="13"/>
      <c r="G267" s="14"/>
      <c r="H267" s="14"/>
      <c r="I267" s="14"/>
      <c r="J267" s="14"/>
      <c r="K267" s="14"/>
      <c r="L267" s="16"/>
      <c r="M267" s="16"/>
    </row>
    <row r="268" spans="1:13" x14ac:dyDescent="0.25">
      <c r="A268" s="12"/>
      <c r="B268" s="13" t="str">
        <f t="shared" si="3"/>
        <v/>
      </c>
      <c r="C268" s="14" t="str">
        <f>IF(OR(A268="",$B$2=""),"", 264)</f>
        <v/>
      </c>
      <c r="D268" s="15"/>
      <c r="E268" s="14"/>
      <c r="F268" s="13"/>
      <c r="G268" s="14"/>
      <c r="H268" s="14"/>
      <c r="I268" s="14"/>
      <c r="J268" s="14"/>
      <c r="K268" s="14"/>
      <c r="L268" s="16"/>
      <c r="M268" s="16"/>
    </row>
    <row r="269" spans="1:13" x14ac:dyDescent="0.25">
      <c r="A269" s="12"/>
      <c r="B269" s="13" t="str">
        <f t="shared" si="3"/>
        <v/>
      </c>
      <c r="C269" s="14" t="str">
        <f>IF(OR(A269="",$B$2=""),"", 265)</f>
        <v/>
      </c>
      <c r="D269" s="15"/>
      <c r="E269" s="14"/>
      <c r="F269" s="13"/>
      <c r="G269" s="14"/>
      <c r="H269" s="14"/>
      <c r="I269" s="14"/>
      <c r="J269" s="14"/>
      <c r="K269" s="14"/>
      <c r="L269" s="16"/>
      <c r="M269" s="16"/>
    </row>
    <row r="270" spans="1:13" x14ac:dyDescent="0.25">
      <c r="A270" s="12"/>
      <c r="B270" s="13" t="str">
        <f t="shared" si="3"/>
        <v/>
      </c>
      <c r="C270" s="14" t="str">
        <f>IF(OR(A270="",$B$2=""),"", 266)</f>
        <v/>
      </c>
      <c r="D270" s="15"/>
      <c r="E270" s="14"/>
      <c r="F270" s="13"/>
      <c r="G270" s="14"/>
      <c r="H270" s="14"/>
      <c r="I270" s="14"/>
      <c r="J270" s="14"/>
      <c r="K270" s="14"/>
      <c r="L270" s="16"/>
      <c r="M270" s="16"/>
    </row>
    <row r="271" spans="1:13" x14ac:dyDescent="0.25">
      <c r="A271" s="12"/>
      <c r="B271" s="13" t="str">
        <f t="shared" si="3"/>
        <v/>
      </c>
      <c r="C271" s="14" t="str">
        <f>IF(OR(A271="",$B$2=""),"", 267)</f>
        <v/>
      </c>
      <c r="D271" s="15"/>
      <c r="E271" s="14"/>
      <c r="F271" s="13"/>
      <c r="G271" s="14"/>
      <c r="H271" s="14"/>
      <c r="I271" s="14"/>
      <c r="J271" s="14"/>
      <c r="K271" s="14"/>
      <c r="L271" s="16"/>
      <c r="M271" s="16"/>
    </row>
    <row r="272" spans="1:13" x14ac:dyDescent="0.25">
      <c r="A272" s="12"/>
      <c r="B272" s="13" t="str">
        <f t="shared" si="3"/>
        <v/>
      </c>
      <c r="C272" s="14" t="str">
        <f>IF(OR(A272="",$B$2=""),"", 268)</f>
        <v/>
      </c>
      <c r="D272" s="15"/>
      <c r="E272" s="14"/>
      <c r="F272" s="13"/>
      <c r="G272" s="14"/>
      <c r="H272" s="14"/>
      <c r="I272" s="14"/>
      <c r="J272" s="14"/>
      <c r="K272" s="14"/>
      <c r="L272" s="16"/>
      <c r="M272" s="16"/>
    </row>
    <row r="273" spans="1:13" x14ac:dyDescent="0.25">
      <c r="A273" s="12"/>
      <c r="B273" s="13" t="str">
        <f t="shared" si="3"/>
        <v/>
      </c>
      <c r="C273" s="14" t="str">
        <f>IF(OR(A273="",$B$2=""),"", 269)</f>
        <v/>
      </c>
      <c r="D273" s="15"/>
      <c r="E273" s="14"/>
      <c r="F273" s="13"/>
      <c r="G273" s="14"/>
      <c r="H273" s="14"/>
      <c r="I273" s="14"/>
      <c r="J273" s="14"/>
      <c r="K273" s="14"/>
      <c r="L273" s="16"/>
      <c r="M273" s="16"/>
    </row>
    <row r="274" spans="1:13" x14ac:dyDescent="0.25">
      <c r="A274" s="12"/>
      <c r="B274" s="13" t="str">
        <f t="shared" ref="B274:B337" si="4">IF(OR(A274="",$B$2=""),"", (A274-$B$2)*1440)</f>
        <v/>
      </c>
      <c r="C274" s="14" t="str">
        <f>IF(OR(A274="",$B$2=""),"", 270)</f>
        <v/>
      </c>
      <c r="D274" s="15"/>
      <c r="E274" s="14"/>
      <c r="F274" s="13"/>
      <c r="G274" s="14"/>
      <c r="H274" s="14"/>
      <c r="I274" s="14"/>
      <c r="J274" s="14"/>
      <c r="K274" s="14"/>
      <c r="L274" s="16"/>
      <c r="M274" s="16"/>
    </row>
    <row r="275" spans="1:13" x14ac:dyDescent="0.25">
      <c r="A275" s="12"/>
      <c r="B275" s="13" t="str">
        <f t="shared" si="4"/>
        <v/>
      </c>
      <c r="C275" s="14" t="str">
        <f>IF(OR(A275="",$B$2=""),"", 271)</f>
        <v/>
      </c>
      <c r="D275" s="15"/>
      <c r="E275" s="14"/>
      <c r="F275" s="13"/>
      <c r="G275" s="14"/>
      <c r="H275" s="14"/>
      <c r="I275" s="14"/>
      <c r="J275" s="14"/>
      <c r="K275" s="14"/>
      <c r="L275" s="16"/>
      <c r="M275" s="16"/>
    </row>
    <row r="276" spans="1:13" x14ac:dyDescent="0.25">
      <c r="A276" s="12"/>
      <c r="B276" s="13" t="str">
        <f t="shared" si="4"/>
        <v/>
      </c>
      <c r="C276" s="14" t="str">
        <f>IF(OR(A276="",$B$2=""),"", 272)</f>
        <v/>
      </c>
      <c r="D276" s="15"/>
      <c r="E276" s="14"/>
      <c r="F276" s="13"/>
      <c r="G276" s="14"/>
      <c r="H276" s="14"/>
      <c r="I276" s="14"/>
      <c r="J276" s="14"/>
      <c r="K276" s="14"/>
      <c r="L276" s="16"/>
      <c r="M276" s="16"/>
    </row>
    <row r="277" spans="1:13" x14ac:dyDescent="0.25">
      <c r="A277" s="12"/>
      <c r="B277" s="13" t="str">
        <f t="shared" si="4"/>
        <v/>
      </c>
      <c r="C277" s="14" t="str">
        <f>IF(OR(A277="",$B$2=""),"", 273)</f>
        <v/>
      </c>
      <c r="D277" s="15"/>
      <c r="E277" s="14"/>
      <c r="F277" s="13"/>
      <c r="G277" s="14"/>
      <c r="H277" s="14"/>
      <c r="I277" s="14"/>
      <c r="J277" s="14"/>
      <c r="K277" s="14"/>
      <c r="L277" s="16"/>
      <c r="M277" s="16"/>
    </row>
    <row r="278" spans="1:13" x14ac:dyDescent="0.25">
      <c r="A278" s="12"/>
      <c r="B278" s="13" t="str">
        <f t="shared" si="4"/>
        <v/>
      </c>
      <c r="C278" s="14" t="str">
        <f>IF(OR(A278="",$B$2=""),"", 274)</f>
        <v/>
      </c>
      <c r="D278" s="15"/>
      <c r="E278" s="14"/>
      <c r="F278" s="13"/>
      <c r="G278" s="14"/>
      <c r="H278" s="14"/>
      <c r="I278" s="14"/>
      <c r="J278" s="14"/>
      <c r="K278" s="14"/>
      <c r="L278" s="16"/>
      <c r="M278" s="16"/>
    </row>
    <row r="279" spans="1:13" x14ac:dyDescent="0.25">
      <c r="A279" s="12"/>
      <c r="B279" s="13" t="str">
        <f t="shared" si="4"/>
        <v/>
      </c>
      <c r="C279" s="14" t="str">
        <f>IF(OR(A279="",$B$2=""),"", 275)</f>
        <v/>
      </c>
      <c r="D279" s="15"/>
      <c r="E279" s="14"/>
      <c r="F279" s="13"/>
      <c r="G279" s="14"/>
      <c r="H279" s="14"/>
      <c r="I279" s="14"/>
      <c r="J279" s="14"/>
      <c r="K279" s="14"/>
      <c r="L279" s="16"/>
      <c r="M279" s="16"/>
    </row>
    <row r="280" spans="1:13" x14ac:dyDescent="0.25">
      <c r="A280" s="12"/>
      <c r="B280" s="13" t="str">
        <f t="shared" si="4"/>
        <v/>
      </c>
      <c r="C280" s="14" t="str">
        <f>IF(OR(A280="",$B$2=""),"", 276)</f>
        <v/>
      </c>
      <c r="D280" s="15"/>
      <c r="E280" s="14"/>
      <c r="F280" s="13"/>
      <c r="G280" s="14"/>
      <c r="H280" s="14"/>
      <c r="I280" s="14"/>
      <c r="J280" s="14"/>
      <c r="K280" s="14"/>
      <c r="L280" s="16"/>
      <c r="M280" s="16"/>
    </row>
    <row r="281" spans="1:13" x14ac:dyDescent="0.25">
      <c r="A281" s="12"/>
      <c r="B281" s="13" t="str">
        <f t="shared" si="4"/>
        <v/>
      </c>
      <c r="C281" s="14" t="str">
        <f>IF(OR(A281="",$B$2=""),"", 277)</f>
        <v/>
      </c>
      <c r="D281" s="15"/>
      <c r="E281" s="14"/>
      <c r="F281" s="13"/>
      <c r="G281" s="14"/>
      <c r="H281" s="14"/>
      <c r="I281" s="14"/>
      <c r="J281" s="14"/>
      <c r="K281" s="14"/>
      <c r="L281" s="16"/>
      <c r="M281" s="16"/>
    </row>
    <row r="282" spans="1:13" x14ac:dyDescent="0.25">
      <c r="A282" s="12"/>
      <c r="B282" s="13" t="str">
        <f t="shared" si="4"/>
        <v/>
      </c>
      <c r="C282" s="14" t="str">
        <f>IF(OR(A282="",$B$2=""),"", 278)</f>
        <v/>
      </c>
      <c r="D282" s="15"/>
      <c r="E282" s="14"/>
      <c r="F282" s="13"/>
      <c r="G282" s="14"/>
      <c r="H282" s="14"/>
      <c r="I282" s="14"/>
      <c r="J282" s="14"/>
      <c r="K282" s="14"/>
      <c r="L282" s="16"/>
      <c r="M282" s="16"/>
    </row>
    <row r="283" spans="1:13" x14ac:dyDescent="0.25">
      <c r="A283" s="12"/>
      <c r="B283" s="13" t="str">
        <f t="shared" si="4"/>
        <v/>
      </c>
      <c r="C283" s="14" t="str">
        <f>IF(OR(A283="",$B$2=""),"", 279)</f>
        <v/>
      </c>
      <c r="D283" s="15"/>
      <c r="E283" s="14"/>
      <c r="F283" s="13"/>
      <c r="G283" s="14"/>
      <c r="H283" s="14"/>
      <c r="I283" s="14"/>
      <c r="J283" s="14"/>
      <c r="K283" s="14"/>
      <c r="L283" s="16"/>
      <c r="M283" s="16"/>
    </row>
    <row r="284" spans="1:13" x14ac:dyDescent="0.25">
      <c r="A284" s="12"/>
      <c r="B284" s="13" t="str">
        <f t="shared" si="4"/>
        <v/>
      </c>
      <c r="C284" s="14" t="str">
        <f>IF(OR(A284="",$B$2=""),"", 280)</f>
        <v/>
      </c>
      <c r="D284" s="15"/>
      <c r="E284" s="14"/>
      <c r="F284" s="13"/>
      <c r="G284" s="14"/>
      <c r="H284" s="14"/>
      <c r="I284" s="14"/>
      <c r="J284" s="14"/>
      <c r="K284" s="14"/>
      <c r="L284" s="16"/>
      <c r="M284" s="16"/>
    </row>
    <row r="285" spans="1:13" x14ac:dyDescent="0.25">
      <c r="A285" s="12"/>
      <c r="B285" s="13" t="str">
        <f t="shared" si="4"/>
        <v/>
      </c>
      <c r="C285" s="14" t="str">
        <f>IF(OR(A285="",$B$2=""),"", 281)</f>
        <v/>
      </c>
      <c r="D285" s="15"/>
      <c r="E285" s="14"/>
      <c r="F285" s="13"/>
      <c r="G285" s="14"/>
      <c r="H285" s="14"/>
      <c r="I285" s="14"/>
      <c r="J285" s="14"/>
      <c r="K285" s="14"/>
      <c r="L285" s="16"/>
      <c r="M285" s="16"/>
    </row>
    <row r="286" spans="1:13" x14ac:dyDescent="0.25">
      <c r="A286" s="12"/>
      <c r="B286" s="13" t="str">
        <f t="shared" si="4"/>
        <v/>
      </c>
      <c r="C286" s="14" t="str">
        <f>IF(OR(A286="",$B$2=""),"", 282)</f>
        <v/>
      </c>
      <c r="D286" s="15"/>
      <c r="E286" s="14"/>
      <c r="F286" s="13"/>
      <c r="G286" s="14"/>
      <c r="H286" s="14"/>
      <c r="I286" s="14"/>
      <c r="J286" s="14"/>
      <c r="K286" s="14"/>
      <c r="L286" s="16"/>
      <c r="M286" s="16"/>
    </row>
    <row r="287" spans="1:13" x14ac:dyDescent="0.25">
      <c r="A287" s="12"/>
      <c r="B287" s="13" t="str">
        <f t="shared" si="4"/>
        <v/>
      </c>
      <c r="C287" s="14" t="str">
        <f>IF(OR(A287="",$B$2=""),"", 283)</f>
        <v/>
      </c>
      <c r="D287" s="15"/>
      <c r="E287" s="14"/>
      <c r="F287" s="13"/>
      <c r="G287" s="14"/>
      <c r="H287" s="14"/>
      <c r="I287" s="14"/>
      <c r="J287" s="14"/>
      <c r="K287" s="14"/>
      <c r="L287" s="16"/>
      <c r="M287" s="16"/>
    </row>
    <row r="288" spans="1:13" x14ac:dyDescent="0.25">
      <c r="A288" s="12"/>
      <c r="B288" s="13" t="str">
        <f t="shared" si="4"/>
        <v/>
      </c>
      <c r="C288" s="14" t="str">
        <f>IF(OR(A288="",$B$2=""),"", 284)</f>
        <v/>
      </c>
      <c r="D288" s="15"/>
      <c r="E288" s="14"/>
      <c r="F288" s="13"/>
      <c r="G288" s="14"/>
      <c r="H288" s="14"/>
      <c r="I288" s="14"/>
      <c r="J288" s="14"/>
      <c r="K288" s="14"/>
      <c r="L288" s="16"/>
      <c r="M288" s="16"/>
    </row>
    <row r="289" spans="1:13" x14ac:dyDescent="0.25">
      <c r="A289" s="12"/>
      <c r="B289" s="13" t="str">
        <f t="shared" si="4"/>
        <v/>
      </c>
      <c r="C289" s="14" t="str">
        <f>IF(OR(A289="",$B$2=""),"", 285)</f>
        <v/>
      </c>
      <c r="D289" s="15"/>
      <c r="E289" s="14"/>
      <c r="F289" s="13"/>
      <c r="G289" s="14"/>
      <c r="H289" s="14"/>
      <c r="I289" s="14"/>
      <c r="J289" s="14"/>
      <c r="K289" s="14"/>
      <c r="L289" s="16"/>
      <c r="M289" s="16"/>
    </row>
    <row r="290" spans="1:13" x14ac:dyDescent="0.25">
      <c r="A290" s="12"/>
      <c r="B290" s="13" t="str">
        <f t="shared" si="4"/>
        <v/>
      </c>
      <c r="C290" s="14" t="str">
        <f>IF(OR(A290="",$B$2=""),"", 286)</f>
        <v/>
      </c>
      <c r="D290" s="15"/>
      <c r="E290" s="14"/>
      <c r="F290" s="13"/>
      <c r="G290" s="14"/>
      <c r="H290" s="14"/>
      <c r="I290" s="14"/>
      <c r="J290" s="14"/>
      <c r="K290" s="14"/>
      <c r="L290" s="16"/>
      <c r="M290" s="16"/>
    </row>
    <row r="291" spans="1:13" x14ac:dyDescent="0.25">
      <c r="A291" s="12"/>
      <c r="B291" s="13" t="str">
        <f t="shared" si="4"/>
        <v/>
      </c>
      <c r="C291" s="14" t="str">
        <f>IF(OR(A291="",$B$2=""),"", 287)</f>
        <v/>
      </c>
      <c r="D291" s="15"/>
      <c r="E291" s="14"/>
      <c r="F291" s="13"/>
      <c r="G291" s="14"/>
      <c r="H291" s="14"/>
      <c r="I291" s="14"/>
      <c r="J291" s="14"/>
      <c r="K291" s="14"/>
      <c r="L291" s="16"/>
      <c r="M291" s="16"/>
    </row>
    <row r="292" spans="1:13" x14ac:dyDescent="0.25">
      <c r="A292" s="12"/>
      <c r="B292" s="13" t="str">
        <f t="shared" si="4"/>
        <v/>
      </c>
      <c r="C292" s="14" t="str">
        <f>IF(OR(A292="",$B$2=""),"", 288)</f>
        <v/>
      </c>
      <c r="D292" s="15"/>
      <c r="E292" s="14"/>
      <c r="F292" s="13"/>
      <c r="G292" s="14"/>
      <c r="H292" s="14"/>
      <c r="I292" s="14"/>
      <c r="J292" s="14"/>
      <c r="K292" s="14"/>
      <c r="L292" s="16"/>
      <c r="M292" s="16"/>
    </row>
    <row r="293" spans="1:13" x14ac:dyDescent="0.25">
      <c r="A293" s="12"/>
      <c r="B293" s="13" t="str">
        <f t="shared" si="4"/>
        <v/>
      </c>
      <c r="C293" s="14" t="str">
        <f>IF(OR(A293="",$B$2=""),"", 289)</f>
        <v/>
      </c>
      <c r="D293" s="15"/>
      <c r="E293" s="14"/>
      <c r="F293" s="13"/>
      <c r="G293" s="14"/>
      <c r="H293" s="14"/>
      <c r="I293" s="14"/>
      <c r="J293" s="14"/>
      <c r="K293" s="14"/>
      <c r="L293" s="16"/>
      <c r="M293" s="16"/>
    </row>
    <row r="294" spans="1:13" x14ac:dyDescent="0.25">
      <c r="A294" s="12"/>
      <c r="B294" s="13" t="str">
        <f t="shared" si="4"/>
        <v/>
      </c>
      <c r="C294" s="14" t="str">
        <f>IF(OR(A294="",$B$2=""),"", 290)</f>
        <v/>
      </c>
      <c r="D294" s="15"/>
      <c r="E294" s="14"/>
      <c r="F294" s="13"/>
      <c r="G294" s="14"/>
      <c r="H294" s="14"/>
      <c r="I294" s="14"/>
      <c r="J294" s="14"/>
      <c r="K294" s="14"/>
      <c r="L294" s="16"/>
      <c r="M294" s="16"/>
    </row>
    <row r="295" spans="1:13" x14ac:dyDescent="0.25">
      <c r="A295" s="12"/>
      <c r="B295" s="13" t="str">
        <f t="shared" si="4"/>
        <v/>
      </c>
      <c r="C295" s="14" t="str">
        <f>IF(OR(A295="",$B$2=""),"", 291)</f>
        <v/>
      </c>
      <c r="D295" s="15"/>
      <c r="E295" s="14"/>
      <c r="F295" s="13"/>
      <c r="G295" s="14"/>
      <c r="H295" s="14"/>
      <c r="I295" s="14"/>
      <c r="J295" s="14"/>
      <c r="K295" s="14"/>
      <c r="L295" s="16"/>
      <c r="M295" s="16"/>
    </row>
    <row r="296" spans="1:13" x14ac:dyDescent="0.25">
      <c r="A296" s="12"/>
      <c r="B296" s="13" t="str">
        <f t="shared" si="4"/>
        <v/>
      </c>
      <c r="C296" s="14" t="str">
        <f>IF(OR(A296="",$B$2=""),"", 292)</f>
        <v/>
      </c>
      <c r="D296" s="15"/>
      <c r="E296" s="14"/>
      <c r="F296" s="13"/>
      <c r="G296" s="14"/>
      <c r="H296" s="14"/>
      <c r="I296" s="14"/>
      <c r="J296" s="14"/>
      <c r="K296" s="14"/>
      <c r="L296" s="16"/>
      <c r="M296" s="16"/>
    </row>
    <row r="297" spans="1:13" x14ac:dyDescent="0.25">
      <c r="A297" s="12"/>
      <c r="B297" s="13" t="str">
        <f t="shared" si="4"/>
        <v/>
      </c>
      <c r="C297" s="14" t="str">
        <f>IF(OR(A297="",$B$2=""),"", 293)</f>
        <v/>
      </c>
      <c r="D297" s="15"/>
      <c r="E297" s="14"/>
      <c r="F297" s="13"/>
      <c r="G297" s="14"/>
      <c r="H297" s="14"/>
      <c r="I297" s="14"/>
      <c r="J297" s="14"/>
      <c r="K297" s="14"/>
      <c r="L297" s="16"/>
      <c r="M297" s="16"/>
    </row>
    <row r="298" spans="1:13" x14ac:dyDescent="0.25">
      <c r="A298" s="12"/>
      <c r="B298" s="13" t="str">
        <f t="shared" si="4"/>
        <v/>
      </c>
      <c r="C298" s="14" t="str">
        <f>IF(OR(A298="",$B$2=""),"", 294)</f>
        <v/>
      </c>
      <c r="D298" s="15"/>
      <c r="E298" s="14"/>
      <c r="F298" s="13"/>
      <c r="G298" s="14"/>
      <c r="H298" s="14"/>
      <c r="I298" s="14"/>
      <c r="J298" s="14"/>
      <c r="K298" s="14"/>
      <c r="L298" s="16"/>
      <c r="M298" s="16"/>
    </row>
    <row r="299" spans="1:13" x14ac:dyDescent="0.25">
      <c r="A299" s="12"/>
      <c r="B299" s="13" t="str">
        <f t="shared" si="4"/>
        <v/>
      </c>
      <c r="C299" s="14" t="str">
        <f>IF(OR(A299="",$B$2=""),"", 295)</f>
        <v/>
      </c>
      <c r="D299" s="15"/>
      <c r="E299" s="14"/>
      <c r="F299" s="13"/>
      <c r="G299" s="14"/>
      <c r="H299" s="14"/>
      <c r="I299" s="14"/>
      <c r="J299" s="14"/>
      <c r="K299" s="14"/>
      <c r="L299" s="16"/>
      <c r="M299" s="16"/>
    </row>
    <row r="300" spans="1:13" x14ac:dyDescent="0.25">
      <c r="A300" s="12"/>
      <c r="B300" s="13" t="str">
        <f t="shared" si="4"/>
        <v/>
      </c>
      <c r="C300" s="14" t="str">
        <f>IF(OR(A300="",$B$2=""),"", 296)</f>
        <v/>
      </c>
      <c r="D300" s="15"/>
      <c r="E300" s="14"/>
      <c r="F300" s="13"/>
      <c r="G300" s="14"/>
      <c r="H300" s="14"/>
      <c r="I300" s="14"/>
      <c r="J300" s="14"/>
      <c r="K300" s="14"/>
      <c r="L300" s="16"/>
      <c r="M300" s="16"/>
    </row>
    <row r="301" spans="1:13" x14ac:dyDescent="0.25">
      <c r="A301" s="12"/>
      <c r="B301" s="13" t="str">
        <f t="shared" si="4"/>
        <v/>
      </c>
      <c r="C301" s="14" t="str">
        <f>IF(OR(A301="",$B$2=""),"", 297)</f>
        <v/>
      </c>
      <c r="D301" s="15"/>
      <c r="E301" s="14"/>
      <c r="F301" s="13"/>
      <c r="G301" s="14"/>
      <c r="H301" s="14"/>
      <c r="I301" s="14"/>
      <c r="J301" s="14"/>
      <c r="K301" s="14"/>
      <c r="L301" s="16"/>
      <c r="M301" s="16"/>
    </row>
    <row r="302" spans="1:13" x14ac:dyDescent="0.25">
      <c r="A302" s="12"/>
      <c r="B302" s="13" t="str">
        <f t="shared" si="4"/>
        <v/>
      </c>
      <c r="C302" s="14" t="str">
        <f>IF(OR(A302="",$B$2=""),"", 298)</f>
        <v/>
      </c>
      <c r="D302" s="15"/>
      <c r="E302" s="14"/>
      <c r="F302" s="13"/>
      <c r="G302" s="14"/>
      <c r="H302" s="14"/>
      <c r="I302" s="14"/>
      <c r="J302" s="14"/>
      <c r="K302" s="14"/>
      <c r="L302" s="16"/>
      <c r="M302" s="16"/>
    </row>
    <row r="303" spans="1:13" x14ac:dyDescent="0.25">
      <c r="A303" s="12"/>
      <c r="B303" s="13" t="str">
        <f t="shared" si="4"/>
        <v/>
      </c>
      <c r="C303" s="14" t="str">
        <f>IF(OR(A303="",$B$2=""),"", 299)</f>
        <v/>
      </c>
      <c r="D303" s="15"/>
      <c r="E303" s="14"/>
      <c r="F303" s="13"/>
      <c r="G303" s="14"/>
      <c r="H303" s="14"/>
      <c r="I303" s="14"/>
      <c r="J303" s="14"/>
      <c r="K303" s="14"/>
      <c r="L303" s="16"/>
      <c r="M303" s="16"/>
    </row>
    <row r="304" spans="1:13" x14ac:dyDescent="0.25">
      <c r="A304" s="12"/>
      <c r="B304" s="13" t="str">
        <f t="shared" si="4"/>
        <v/>
      </c>
      <c r="C304" s="14" t="str">
        <f>IF(OR(A304="",$B$2=""),"", 300)</f>
        <v/>
      </c>
      <c r="D304" s="15"/>
      <c r="E304" s="14"/>
      <c r="F304" s="13"/>
      <c r="G304" s="14"/>
      <c r="H304" s="14"/>
      <c r="I304" s="14"/>
      <c r="J304" s="14"/>
      <c r="K304" s="14"/>
      <c r="L304" s="16"/>
      <c r="M304" s="16"/>
    </row>
    <row r="305" spans="1:13" x14ac:dyDescent="0.25">
      <c r="A305" s="12"/>
      <c r="B305" s="13" t="str">
        <f t="shared" si="4"/>
        <v/>
      </c>
      <c r="C305" s="14" t="str">
        <f>IF(OR(A305="",$B$2=""),"", 301)</f>
        <v/>
      </c>
      <c r="D305" s="15"/>
      <c r="E305" s="14"/>
      <c r="F305" s="13"/>
      <c r="G305" s="14"/>
      <c r="H305" s="14"/>
      <c r="I305" s="14"/>
      <c r="J305" s="14"/>
      <c r="K305" s="14"/>
      <c r="L305" s="16"/>
      <c r="M305" s="16"/>
    </row>
    <row r="306" spans="1:13" x14ac:dyDescent="0.25">
      <c r="A306" s="12"/>
      <c r="B306" s="13" t="str">
        <f t="shared" si="4"/>
        <v/>
      </c>
      <c r="C306" s="14" t="str">
        <f>IF(OR(A306="",$B$2=""),"", 302)</f>
        <v/>
      </c>
      <c r="D306" s="15"/>
      <c r="E306" s="14"/>
      <c r="F306" s="13"/>
      <c r="G306" s="14"/>
      <c r="H306" s="14"/>
      <c r="I306" s="14"/>
      <c r="J306" s="14"/>
      <c r="K306" s="14"/>
      <c r="L306" s="16"/>
      <c r="M306" s="16"/>
    </row>
    <row r="307" spans="1:13" x14ac:dyDescent="0.25">
      <c r="A307" s="12"/>
      <c r="B307" s="13" t="str">
        <f t="shared" si="4"/>
        <v/>
      </c>
      <c r="C307" s="14" t="str">
        <f>IF(OR(A307="",$B$2=""),"", 303)</f>
        <v/>
      </c>
      <c r="D307" s="15"/>
      <c r="E307" s="14"/>
      <c r="F307" s="13"/>
      <c r="G307" s="14"/>
      <c r="H307" s="14"/>
      <c r="I307" s="14"/>
      <c r="J307" s="14"/>
      <c r="K307" s="14"/>
      <c r="L307" s="16"/>
      <c r="M307" s="16"/>
    </row>
    <row r="308" spans="1:13" x14ac:dyDescent="0.25">
      <c r="A308" s="12"/>
      <c r="B308" s="13" t="str">
        <f t="shared" si="4"/>
        <v/>
      </c>
      <c r="C308" s="14" t="str">
        <f>IF(OR(A308="",$B$2=""),"", 304)</f>
        <v/>
      </c>
      <c r="D308" s="15"/>
      <c r="E308" s="14"/>
      <c r="F308" s="13"/>
      <c r="G308" s="14"/>
      <c r="H308" s="14"/>
      <c r="I308" s="14"/>
      <c r="J308" s="14"/>
      <c r="K308" s="14"/>
      <c r="L308" s="16"/>
      <c r="M308" s="16"/>
    </row>
    <row r="309" spans="1:13" x14ac:dyDescent="0.25">
      <c r="A309" s="12"/>
      <c r="B309" s="13" t="str">
        <f t="shared" si="4"/>
        <v/>
      </c>
      <c r="C309" s="14" t="str">
        <f>IF(OR(A309="",$B$2=""),"", 305)</f>
        <v/>
      </c>
      <c r="D309" s="15"/>
      <c r="E309" s="14"/>
      <c r="F309" s="13"/>
      <c r="G309" s="14"/>
      <c r="H309" s="14"/>
      <c r="I309" s="14"/>
      <c r="J309" s="14"/>
      <c r="K309" s="14"/>
      <c r="L309" s="16"/>
      <c r="M309" s="16"/>
    </row>
    <row r="310" spans="1:13" x14ac:dyDescent="0.25">
      <c r="A310" s="12"/>
      <c r="B310" s="13" t="str">
        <f t="shared" si="4"/>
        <v/>
      </c>
      <c r="C310" s="14" t="str">
        <f>IF(OR(A310="",$B$2=""),"", 306)</f>
        <v/>
      </c>
      <c r="D310" s="15"/>
      <c r="E310" s="14"/>
      <c r="F310" s="13"/>
      <c r="G310" s="14"/>
      <c r="H310" s="14"/>
      <c r="I310" s="14"/>
      <c r="J310" s="14"/>
      <c r="K310" s="14"/>
      <c r="L310" s="16"/>
      <c r="M310" s="16"/>
    </row>
    <row r="311" spans="1:13" x14ac:dyDescent="0.25">
      <c r="A311" s="12"/>
      <c r="B311" s="13" t="str">
        <f t="shared" si="4"/>
        <v/>
      </c>
      <c r="C311" s="14" t="str">
        <f>IF(OR(A311="",$B$2=""),"", 307)</f>
        <v/>
      </c>
      <c r="D311" s="15"/>
      <c r="E311" s="14"/>
      <c r="F311" s="13"/>
      <c r="G311" s="14"/>
      <c r="H311" s="14"/>
      <c r="I311" s="14"/>
      <c r="J311" s="14"/>
      <c r="K311" s="14"/>
      <c r="L311" s="16"/>
      <c r="M311" s="16"/>
    </row>
    <row r="312" spans="1:13" x14ac:dyDescent="0.25">
      <c r="A312" s="12"/>
      <c r="B312" s="13" t="str">
        <f t="shared" si="4"/>
        <v/>
      </c>
      <c r="C312" s="14" t="str">
        <f>IF(OR(A312="",$B$2=""),"", 308)</f>
        <v/>
      </c>
      <c r="D312" s="15"/>
      <c r="E312" s="14"/>
      <c r="F312" s="13"/>
      <c r="G312" s="14"/>
      <c r="H312" s="14"/>
      <c r="I312" s="14"/>
      <c r="J312" s="14"/>
      <c r="K312" s="14"/>
      <c r="L312" s="16"/>
      <c r="M312" s="16"/>
    </row>
    <row r="313" spans="1:13" x14ac:dyDescent="0.25">
      <c r="A313" s="12"/>
      <c r="B313" s="13" t="str">
        <f t="shared" si="4"/>
        <v/>
      </c>
      <c r="C313" s="14" t="str">
        <f>IF(OR(A313="",$B$2=""),"", 309)</f>
        <v/>
      </c>
      <c r="D313" s="15"/>
      <c r="E313" s="14"/>
      <c r="F313" s="13"/>
      <c r="G313" s="14"/>
      <c r="H313" s="14"/>
      <c r="I313" s="14"/>
      <c r="J313" s="14"/>
      <c r="K313" s="14"/>
      <c r="L313" s="16"/>
      <c r="M313" s="16"/>
    </row>
    <row r="314" spans="1:13" x14ac:dyDescent="0.25">
      <c r="A314" s="12"/>
      <c r="B314" s="13" t="str">
        <f t="shared" si="4"/>
        <v/>
      </c>
      <c r="C314" s="14" t="str">
        <f>IF(OR(A314="",$B$2=""),"", 310)</f>
        <v/>
      </c>
      <c r="D314" s="15"/>
      <c r="E314" s="14"/>
      <c r="F314" s="13"/>
      <c r="G314" s="14"/>
      <c r="H314" s="14"/>
      <c r="I314" s="14"/>
      <c r="J314" s="14"/>
      <c r="K314" s="14"/>
      <c r="L314" s="16"/>
      <c r="M314" s="16"/>
    </row>
    <row r="315" spans="1:13" x14ac:dyDescent="0.25">
      <c r="A315" s="12"/>
      <c r="B315" s="13" t="str">
        <f t="shared" si="4"/>
        <v/>
      </c>
      <c r="C315" s="14" t="str">
        <f>IF(OR(A315="",$B$2=""),"", 311)</f>
        <v/>
      </c>
      <c r="D315" s="15"/>
      <c r="E315" s="14"/>
      <c r="F315" s="13"/>
      <c r="G315" s="14"/>
      <c r="H315" s="14"/>
      <c r="I315" s="14"/>
      <c r="J315" s="14"/>
      <c r="K315" s="14"/>
      <c r="L315" s="16"/>
      <c r="M315" s="16"/>
    </row>
    <row r="316" spans="1:13" x14ac:dyDescent="0.25">
      <c r="A316" s="12"/>
      <c r="B316" s="13" t="str">
        <f t="shared" si="4"/>
        <v/>
      </c>
      <c r="C316" s="14" t="str">
        <f>IF(OR(A316="",$B$2=""),"", 312)</f>
        <v/>
      </c>
      <c r="D316" s="15"/>
      <c r="E316" s="14"/>
      <c r="F316" s="13"/>
      <c r="G316" s="14"/>
      <c r="H316" s="14"/>
      <c r="I316" s="14"/>
      <c r="J316" s="14"/>
      <c r="K316" s="14"/>
      <c r="L316" s="16"/>
      <c r="M316" s="16"/>
    </row>
    <row r="317" spans="1:13" x14ac:dyDescent="0.25">
      <c r="A317" s="12"/>
      <c r="B317" s="13" t="str">
        <f t="shared" si="4"/>
        <v/>
      </c>
      <c r="C317" s="14" t="str">
        <f>IF(OR(A317="",$B$2=""),"", 313)</f>
        <v/>
      </c>
      <c r="D317" s="15"/>
      <c r="E317" s="14"/>
      <c r="F317" s="13"/>
      <c r="G317" s="14"/>
      <c r="H317" s="14"/>
      <c r="I317" s="14"/>
      <c r="J317" s="14"/>
      <c r="K317" s="14"/>
      <c r="L317" s="16"/>
      <c r="M317" s="16"/>
    </row>
    <row r="318" spans="1:13" x14ac:dyDescent="0.25">
      <c r="A318" s="12"/>
      <c r="B318" s="13" t="str">
        <f t="shared" si="4"/>
        <v/>
      </c>
      <c r="C318" s="14" t="str">
        <f>IF(OR(A318="",$B$2=""),"", 314)</f>
        <v/>
      </c>
      <c r="D318" s="15"/>
      <c r="E318" s="14"/>
      <c r="F318" s="13"/>
      <c r="G318" s="14"/>
      <c r="H318" s="14"/>
      <c r="I318" s="14"/>
      <c r="J318" s="14"/>
      <c r="K318" s="14"/>
      <c r="L318" s="16"/>
      <c r="M318" s="16"/>
    </row>
    <row r="319" spans="1:13" x14ac:dyDescent="0.25">
      <c r="A319" s="12"/>
      <c r="B319" s="13" t="str">
        <f t="shared" si="4"/>
        <v/>
      </c>
      <c r="C319" s="14" t="str">
        <f>IF(OR(A319="",$B$2=""),"", 315)</f>
        <v/>
      </c>
      <c r="D319" s="15"/>
      <c r="E319" s="14"/>
      <c r="F319" s="13"/>
      <c r="G319" s="14"/>
      <c r="H319" s="14"/>
      <c r="I319" s="14"/>
      <c r="J319" s="14"/>
      <c r="K319" s="14"/>
      <c r="L319" s="16"/>
      <c r="M319" s="16"/>
    </row>
    <row r="320" spans="1:13" x14ac:dyDescent="0.25">
      <c r="A320" s="12"/>
      <c r="B320" s="13" t="str">
        <f t="shared" si="4"/>
        <v/>
      </c>
      <c r="C320" s="14" t="str">
        <f>IF(OR(A320="",$B$2=""),"", 316)</f>
        <v/>
      </c>
      <c r="D320" s="15"/>
      <c r="E320" s="14"/>
      <c r="F320" s="13"/>
      <c r="G320" s="14"/>
      <c r="H320" s="14"/>
      <c r="I320" s="14"/>
      <c r="J320" s="14"/>
      <c r="K320" s="14"/>
      <c r="L320" s="16"/>
      <c r="M320" s="16"/>
    </row>
    <row r="321" spans="1:13" x14ac:dyDescent="0.25">
      <c r="A321" s="12"/>
      <c r="B321" s="13" t="str">
        <f t="shared" si="4"/>
        <v/>
      </c>
      <c r="C321" s="14" t="str">
        <f>IF(OR(A321="",$B$2=""),"", 317)</f>
        <v/>
      </c>
      <c r="D321" s="15"/>
      <c r="E321" s="14"/>
      <c r="F321" s="13"/>
      <c r="G321" s="14"/>
      <c r="H321" s="14"/>
      <c r="I321" s="14"/>
      <c r="J321" s="14"/>
      <c r="K321" s="14"/>
      <c r="L321" s="16"/>
      <c r="M321" s="16"/>
    </row>
    <row r="322" spans="1:13" x14ac:dyDescent="0.25">
      <c r="A322" s="12"/>
      <c r="B322" s="13" t="str">
        <f t="shared" si="4"/>
        <v/>
      </c>
      <c r="C322" s="14" t="str">
        <f>IF(OR(A322="",$B$2=""),"", 318)</f>
        <v/>
      </c>
      <c r="D322" s="15"/>
      <c r="E322" s="14"/>
      <c r="F322" s="13"/>
      <c r="G322" s="14"/>
      <c r="H322" s="14"/>
      <c r="I322" s="14"/>
      <c r="J322" s="14"/>
      <c r="K322" s="14"/>
      <c r="L322" s="16"/>
      <c r="M322" s="16"/>
    </row>
    <row r="323" spans="1:13" x14ac:dyDescent="0.25">
      <c r="A323" s="12"/>
      <c r="B323" s="13" t="str">
        <f t="shared" si="4"/>
        <v/>
      </c>
      <c r="C323" s="14" t="str">
        <f>IF(OR(A323="",$B$2=""),"", 319)</f>
        <v/>
      </c>
      <c r="D323" s="15"/>
      <c r="E323" s="14"/>
      <c r="F323" s="13"/>
      <c r="G323" s="14"/>
      <c r="H323" s="14"/>
      <c r="I323" s="14"/>
      <c r="J323" s="14"/>
      <c r="K323" s="14"/>
      <c r="L323" s="16"/>
      <c r="M323" s="16"/>
    </row>
    <row r="324" spans="1:13" x14ac:dyDescent="0.25">
      <c r="A324" s="12"/>
      <c r="B324" s="13" t="str">
        <f t="shared" si="4"/>
        <v/>
      </c>
      <c r="C324" s="14" t="str">
        <f>IF(OR(A324="",$B$2=""),"", 320)</f>
        <v/>
      </c>
      <c r="D324" s="15"/>
      <c r="E324" s="14"/>
      <c r="F324" s="13"/>
      <c r="G324" s="14"/>
      <c r="H324" s="14"/>
      <c r="I324" s="14"/>
      <c r="J324" s="14"/>
      <c r="K324" s="14"/>
      <c r="L324" s="16"/>
      <c r="M324" s="16"/>
    </row>
    <row r="325" spans="1:13" x14ac:dyDescent="0.25">
      <c r="A325" s="12"/>
      <c r="B325" s="13" t="str">
        <f t="shared" si="4"/>
        <v/>
      </c>
      <c r="C325" s="14" t="str">
        <f>IF(OR(A325="",$B$2=""),"", 321)</f>
        <v/>
      </c>
      <c r="D325" s="15"/>
      <c r="E325" s="14"/>
      <c r="F325" s="13"/>
      <c r="G325" s="14"/>
      <c r="H325" s="14"/>
      <c r="I325" s="14"/>
      <c r="J325" s="14"/>
      <c r="K325" s="14"/>
      <c r="L325" s="16"/>
      <c r="M325" s="16"/>
    </row>
    <row r="326" spans="1:13" x14ac:dyDescent="0.25">
      <c r="A326" s="12"/>
      <c r="B326" s="13" t="str">
        <f t="shared" si="4"/>
        <v/>
      </c>
      <c r="C326" s="14" t="str">
        <f>IF(OR(A326="",$B$2=""),"", 322)</f>
        <v/>
      </c>
      <c r="D326" s="15"/>
      <c r="E326" s="14"/>
      <c r="F326" s="13"/>
      <c r="G326" s="14"/>
      <c r="H326" s="14"/>
      <c r="I326" s="14"/>
      <c r="J326" s="14"/>
      <c r="K326" s="14"/>
      <c r="L326" s="16"/>
      <c r="M326" s="16"/>
    </row>
    <row r="327" spans="1:13" x14ac:dyDescent="0.25">
      <c r="A327" s="12"/>
      <c r="B327" s="13" t="str">
        <f t="shared" si="4"/>
        <v/>
      </c>
      <c r="C327" s="14" t="str">
        <f>IF(OR(A327="",$B$2=""),"", 323)</f>
        <v/>
      </c>
      <c r="D327" s="15"/>
      <c r="E327" s="14"/>
      <c r="F327" s="13"/>
      <c r="G327" s="14"/>
      <c r="H327" s="14"/>
      <c r="I327" s="14"/>
      <c r="J327" s="14"/>
      <c r="K327" s="14"/>
      <c r="L327" s="16"/>
      <c r="M327" s="16"/>
    </row>
    <row r="328" spans="1:13" x14ac:dyDescent="0.25">
      <c r="A328" s="12"/>
      <c r="B328" s="13" t="str">
        <f t="shared" si="4"/>
        <v/>
      </c>
      <c r="C328" s="14" t="str">
        <f>IF(OR(A328="",$B$2=""),"", 324)</f>
        <v/>
      </c>
      <c r="D328" s="15"/>
      <c r="E328" s="14"/>
      <c r="F328" s="13"/>
      <c r="G328" s="14"/>
      <c r="H328" s="14"/>
      <c r="I328" s="14"/>
      <c r="J328" s="14"/>
      <c r="K328" s="14"/>
      <c r="L328" s="16"/>
      <c r="M328" s="16"/>
    </row>
    <row r="329" spans="1:13" x14ac:dyDescent="0.25">
      <c r="A329" s="12"/>
      <c r="B329" s="13" t="str">
        <f t="shared" si="4"/>
        <v/>
      </c>
      <c r="C329" s="14" t="str">
        <f>IF(OR(A329="",$B$2=""),"", 325)</f>
        <v/>
      </c>
      <c r="D329" s="15"/>
      <c r="E329" s="14"/>
      <c r="F329" s="13"/>
      <c r="G329" s="14"/>
      <c r="H329" s="14"/>
      <c r="I329" s="14"/>
      <c r="J329" s="14"/>
      <c r="K329" s="14"/>
      <c r="L329" s="16"/>
      <c r="M329" s="16"/>
    </row>
    <row r="330" spans="1:13" x14ac:dyDescent="0.25">
      <c r="A330" s="12"/>
      <c r="B330" s="13" t="str">
        <f t="shared" si="4"/>
        <v/>
      </c>
      <c r="C330" s="14" t="str">
        <f>IF(OR(A330="",$B$2=""),"", 326)</f>
        <v/>
      </c>
      <c r="D330" s="15"/>
      <c r="E330" s="14"/>
      <c r="F330" s="13"/>
      <c r="G330" s="14"/>
      <c r="H330" s="14"/>
      <c r="I330" s="14"/>
      <c r="J330" s="14"/>
      <c r="K330" s="14"/>
      <c r="L330" s="16"/>
      <c r="M330" s="16"/>
    </row>
    <row r="331" spans="1:13" x14ac:dyDescent="0.25">
      <c r="A331" s="12"/>
      <c r="B331" s="13" t="str">
        <f t="shared" si="4"/>
        <v/>
      </c>
      <c r="C331" s="14" t="str">
        <f>IF(OR(A331="",$B$2=""),"", 327)</f>
        <v/>
      </c>
      <c r="D331" s="15"/>
      <c r="E331" s="14"/>
      <c r="F331" s="13"/>
      <c r="G331" s="14"/>
      <c r="H331" s="14"/>
      <c r="I331" s="14"/>
      <c r="J331" s="14"/>
      <c r="K331" s="14"/>
      <c r="L331" s="16"/>
      <c r="M331" s="16"/>
    </row>
    <row r="332" spans="1:13" x14ac:dyDescent="0.25">
      <c r="A332" s="12"/>
      <c r="B332" s="13" t="str">
        <f t="shared" si="4"/>
        <v/>
      </c>
      <c r="C332" s="14" t="str">
        <f>IF(OR(A332="",$B$2=""),"", 328)</f>
        <v/>
      </c>
      <c r="D332" s="15"/>
      <c r="E332" s="14"/>
      <c r="F332" s="13"/>
      <c r="G332" s="14"/>
      <c r="H332" s="14"/>
      <c r="I332" s="14"/>
      <c r="J332" s="14"/>
      <c r="K332" s="14"/>
      <c r="L332" s="16"/>
      <c r="M332" s="16"/>
    </row>
    <row r="333" spans="1:13" x14ac:dyDescent="0.25">
      <c r="A333" s="12"/>
      <c r="B333" s="13" t="str">
        <f t="shared" si="4"/>
        <v/>
      </c>
      <c r="C333" s="14" t="str">
        <f>IF(OR(A333="",$B$2=""),"", 329)</f>
        <v/>
      </c>
      <c r="D333" s="15"/>
      <c r="E333" s="14"/>
      <c r="F333" s="13"/>
      <c r="G333" s="14"/>
      <c r="H333" s="14"/>
      <c r="I333" s="14"/>
      <c r="J333" s="14"/>
      <c r="K333" s="14"/>
      <c r="L333" s="16"/>
      <c r="M333" s="16"/>
    </row>
    <row r="334" spans="1:13" x14ac:dyDescent="0.25">
      <c r="A334" s="12"/>
      <c r="B334" s="13" t="str">
        <f t="shared" si="4"/>
        <v/>
      </c>
      <c r="C334" s="14" t="str">
        <f>IF(OR(A334="",$B$2=""),"", 330)</f>
        <v/>
      </c>
      <c r="D334" s="15"/>
      <c r="E334" s="14"/>
      <c r="F334" s="13"/>
      <c r="G334" s="14"/>
      <c r="H334" s="14"/>
      <c r="I334" s="14"/>
      <c r="J334" s="14"/>
      <c r="K334" s="14"/>
      <c r="L334" s="16"/>
      <c r="M334" s="16"/>
    </row>
    <row r="335" spans="1:13" x14ac:dyDescent="0.25">
      <c r="A335" s="12"/>
      <c r="B335" s="13" t="str">
        <f t="shared" si="4"/>
        <v/>
      </c>
      <c r="C335" s="14" t="str">
        <f>IF(OR(A335="",$B$2=""),"", 331)</f>
        <v/>
      </c>
      <c r="D335" s="15"/>
      <c r="E335" s="14"/>
      <c r="F335" s="13"/>
      <c r="G335" s="14"/>
      <c r="H335" s="14"/>
      <c r="I335" s="14"/>
      <c r="J335" s="14"/>
      <c r="K335" s="14"/>
      <c r="L335" s="16"/>
      <c r="M335" s="16"/>
    </row>
    <row r="336" spans="1:13" x14ac:dyDescent="0.25">
      <c r="A336" s="12"/>
      <c r="B336" s="13" t="str">
        <f t="shared" si="4"/>
        <v/>
      </c>
      <c r="C336" s="14" t="str">
        <f>IF(OR(A336="",$B$2=""),"", 332)</f>
        <v/>
      </c>
      <c r="D336" s="15"/>
      <c r="E336" s="14"/>
      <c r="F336" s="13"/>
      <c r="G336" s="14"/>
      <c r="H336" s="14"/>
      <c r="I336" s="14"/>
      <c r="J336" s="14"/>
      <c r="K336" s="14"/>
      <c r="L336" s="16"/>
      <c r="M336" s="16"/>
    </row>
    <row r="337" spans="1:13" x14ac:dyDescent="0.25">
      <c r="A337" s="12"/>
      <c r="B337" s="13" t="str">
        <f t="shared" si="4"/>
        <v/>
      </c>
      <c r="C337" s="14" t="str">
        <f>IF(OR(A337="",$B$2=""),"", 333)</f>
        <v/>
      </c>
      <c r="D337" s="15"/>
      <c r="E337" s="14"/>
      <c r="F337" s="13"/>
      <c r="G337" s="14"/>
      <c r="H337" s="14"/>
      <c r="I337" s="14"/>
      <c r="J337" s="14"/>
      <c r="K337" s="14"/>
      <c r="L337" s="16"/>
      <c r="M337" s="16"/>
    </row>
    <row r="338" spans="1:13" x14ac:dyDescent="0.25">
      <c r="A338" s="12"/>
      <c r="B338" s="13" t="str">
        <f t="shared" ref="B338:B401" si="5">IF(OR(A338="",$B$2=""),"", (A338-$B$2)*1440)</f>
        <v/>
      </c>
      <c r="C338" s="14" t="str">
        <f>IF(OR(A338="",$B$2=""),"", 334)</f>
        <v/>
      </c>
      <c r="D338" s="15"/>
      <c r="E338" s="14"/>
      <c r="F338" s="13"/>
      <c r="G338" s="14"/>
      <c r="H338" s="14"/>
      <c r="I338" s="14"/>
      <c r="J338" s="14"/>
      <c r="K338" s="14"/>
      <c r="L338" s="16"/>
      <c r="M338" s="16"/>
    </row>
    <row r="339" spans="1:13" x14ac:dyDescent="0.25">
      <c r="A339" s="12"/>
      <c r="B339" s="13" t="str">
        <f t="shared" si="5"/>
        <v/>
      </c>
      <c r="C339" s="14" t="str">
        <f>IF(OR(A339="",$B$2=""),"", 335)</f>
        <v/>
      </c>
      <c r="D339" s="15"/>
      <c r="E339" s="14"/>
      <c r="F339" s="13"/>
      <c r="G339" s="14"/>
      <c r="H339" s="14"/>
      <c r="I339" s="14"/>
      <c r="J339" s="14"/>
      <c r="K339" s="14"/>
      <c r="L339" s="16"/>
      <c r="M339" s="16"/>
    </row>
    <row r="340" spans="1:13" x14ac:dyDescent="0.25">
      <c r="A340" s="12"/>
      <c r="B340" s="13" t="str">
        <f t="shared" si="5"/>
        <v/>
      </c>
      <c r="C340" s="14" t="str">
        <f>IF(OR(A340="",$B$2=""),"", 336)</f>
        <v/>
      </c>
      <c r="D340" s="15"/>
      <c r="E340" s="14"/>
      <c r="F340" s="13"/>
      <c r="G340" s="14"/>
      <c r="H340" s="14"/>
      <c r="I340" s="14"/>
      <c r="J340" s="14"/>
      <c r="K340" s="14"/>
      <c r="L340" s="16"/>
      <c r="M340" s="16"/>
    </row>
    <row r="341" spans="1:13" x14ac:dyDescent="0.25">
      <c r="A341" s="12"/>
      <c r="B341" s="13" t="str">
        <f t="shared" si="5"/>
        <v/>
      </c>
      <c r="C341" s="14" t="str">
        <f>IF(OR(A341="",$B$2=""),"", 337)</f>
        <v/>
      </c>
      <c r="D341" s="15"/>
      <c r="E341" s="14"/>
      <c r="F341" s="13"/>
      <c r="G341" s="14"/>
      <c r="H341" s="14"/>
      <c r="I341" s="14"/>
      <c r="J341" s="14"/>
      <c r="K341" s="14"/>
      <c r="L341" s="16"/>
      <c r="M341" s="16"/>
    </row>
    <row r="342" spans="1:13" x14ac:dyDescent="0.25">
      <c r="A342" s="12"/>
      <c r="B342" s="13" t="str">
        <f t="shared" si="5"/>
        <v/>
      </c>
      <c r="C342" s="14" t="str">
        <f>IF(OR(A342="",$B$2=""),"", 338)</f>
        <v/>
      </c>
      <c r="D342" s="15"/>
      <c r="E342" s="14"/>
      <c r="F342" s="13"/>
      <c r="G342" s="14"/>
      <c r="H342" s="14"/>
      <c r="I342" s="14"/>
      <c r="J342" s="14"/>
      <c r="K342" s="14"/>
      <c r="L342" s="16"/>
      <c r="M342" s="16"/>
    </row>
    <row r="343" spans="1:13" x14ac:dyDescent="0.25">
      <c r="A343" s="12"/>
      <c r="B343" s="13" t="str">
        <f t="shared" si="5"/>
        <v/>
      </c>
      <c r="C343" s="14" t="str">
        <f>IF(OR(A343="",$B$2=""),"", 339)</f>
        <v/>
      </c>
      <c r="D343" s="15"/>
      <c r="E343" s="14"/>
      <c r="F343" s="13"/>
      <c r="G343" s="14"/>
      <c r="H343" s="14"/>
      <c r="I343" s="14"/>
      <c r="J343" s="14"/>
      <c r="K343" s="14"/>
      <c r="L343" s="16"/>
      <c r="M343" s="16"/>
    </row>
    <row r="344" spans="1:13" x14ac:dyDescent="0.25">
      <c r="A344" s="12"/>
      <c r="B344" s="13" t="str">
        <f t="shared" si="5"/>
        <v/>
      </c>
      <c r="C344" s="14" t="str">
        <f>IF(OR(A344="",$B$2=""),"", 340)</f>
        <v/>
      </c>
      <c r="D344" s="15"/>
      <c r="E344" s="14"/>
      <c r="F344" s="13"/>
      <c r="G344" s="14"/>
      <c r="H344" s="14"/>
      <c r="I344" s="14"/>
      <c r="J344" s="14"/>
      <c r="K344" s="14"/>
      <c r="L344" s="16"/>
      <c r="M344" s="16"/>
    </row>
    <row r="345" spans="1:13" x14ac:dyDescent="0.25">
      <c r="A345" s="12"/>
      <c r="B345" s="13" t="str">
        <f t="shared" si="5"/>
        <v/>
      </c>
      <c r="C345" s="14" t="str">
        <f>IF(OR(A345="",$B$2=""),"", 341)</f>
        <v/>
      </c>
      <c r="D345" s="15"/>
      <c r="E345" s="14"/>
      <c r="F345" s="13"/>
      <c r="G345" s="14"/>
      <c r="H345" s="14"/>
      <c r="I345" s="14"/>
      <c r="J345" s="14"/>
      <c r="K345" s="14"/>
      <c r="L345" s="16"/>
      <c r="M345" s="16"/>
    </row>
    <row r="346" spans="1:13" x14ac:dyDescent="0.25">
      <c r="A346" s="12"/>
      <c r="B346" s="13" t="str">
        <f t="shared" si="5"/>
        <v/>
      </c>
      <c r="C346" s="14" t="str">
        <f>IF(OR(A346="",$B$2=""),"", 342)</f>
        <v/>
      </c>
      <c r="D346" s="15"/>
      <c r="E346" s="14"/>
      <c r="F346" s="13"/>
      <c r="G346" s="14"/>
      <c r="H346" s="14"/>
      <c r="I346" s="14"/>
      <c r="J346" s="14"/>
      <c r="K346" s="14"/>
      <c r="L346" s="16"/>
      <c r="M346" s="16"/>
    </row>
    <row r="347" spans="1:13" x14ac:dyDescent="0.25">
      <c r="A347" s="12"/>
      <c r="B347" s="13" t="str">
        <f t="shared" si="5"/>
        <v/>
      </c>
      <c r="C347" s="14" t="str">
        <f>IF(OR(A347="",$B$2=""),"", 343)</f>
        <v/>
      </c>
      <c r="D347" s="15"/>
      <c r="E347" s="14"/>
      <c r="F347" s="13"/>
      <c r="G347" s="14"/>
      <c r="H347" s="14"/>
      <c r="I347" s="14"/>
      <c r="J347" s="14"/>
      <c r="K347" s="14"/>
      <c r="L347" s="16"/>
      <c r="M347" s="16"/>
    </row>
    <row r="348" spans="1:13" x14ac:dyDescent="0.25">
      <c r="A348" s="12"/>
      <c r="B348" s="13" t="str">
        <f t="shared" si="5"/>
        <v/>
      </c>
      <c r="C348" s="14" t="str">
        <f>IF(OR(A348="",$B$2=""),"", 344)</f>
        <v/>
      </c>
      <c r="D348" s="15"/>
      <c r="E348" s="14"/>
      <c r="F348" s="13"/>
      <c r="G348" s="14"/>
      <c r="H348" s="14"/>
      <c r="I348" s="14"/>
      <c r="J348" s="14"/>
      <c r="K348" s="14"/>
      <c r="L348" s="16"/>
      <c r="M348" s="16"/>
    </row>
    <row r="349" spans="1:13" x14ac:dyDescent="0.25">
      <c r="A349" s="12"/>
      <c r="B349" s="13" t="str">
        <f t="shared" si="5"/>
        <v/>
      </c>
      <c r="C349" s="14" t="str">
        <f>IF(OR(A349="",$B$2=""),"", 345)</f>
        <v/>
      </c>
      <c r="D349" s="15"/>
      <c r="E349" s="14"/>
      <c r="F349" s="13"/>
      <c r="G349" s="14"/>
      <c r="H349" s="14"/>
      <c r="I349" s="14"/>
      <c r="J349" s="14"/>
      <c r="K349" s="14"/>
      <c r="L349" s="16"/>
      <c r="M349" s="16"/>
    </row>
    <row r="350" spans="1:13" x14ac:dyDescent="0.25">
      <c r="A350" s="12"/>
      <c r="B350" s="13" t="str">
        <f t="shared" si="5"/>
        <v/>
      </c>
      <c r="C350" s="14" t="str">
        <f>IF(OR(A350="",$B$2=""),"", 346)</f>
        <v/>
      </c>
      <c r="D350" s="15"/>
      <c r="E350" s="14"/>
      <c r="F350" s="13"/>
      <c r="G350" s="14"/>
      <c r="H350" s="14"/>
      <c r="I350" s="14"/>
      <c r="J350" s="14"/>
      <c r="K350" s="14"/>
      <c r="L350" s="16"/>
      <c r="M350" s="16"/>
    </row>
    <row r="351" spans="1:13" x14ac:dyDescent="0.25">
      <c r="A351" s="12"/>
      <c r="B351" s="13" t="str">
        <f t="shared" si="5"/>
        <v/>
      </c>
      <c r="C351" s="14" t="str">
        <f>IF(OR(A351="",$B$2=""),"", 347)</f>
        <v/>
      </c>
      <c r="D351" s="15"/>
      <c r="E351" s="14"/>
      <c r="F351" s="13"/>
      <c r="G351" s="14"/>
      <c r="H351" s="14"/>
      <c r="I351" s="14"/>
      <c r="J351" s="14"/>
      <c r="K351" s="14"/>
      <c r="L351" s="16"/>
      <c r="M351" s="16"/>
    </row>
    <row r="352" spans="1:13" x14ac:dyDescent="0.25">
      <c r="A352" s="12"/>
      <c r="B352" s="13" t="str">
        <f t="shared" si="5"/>
        <v/>
      </c>
      <c r="C352" s="14" t="str">
        <f>IF(OR(A352="",$B$2=""),"", 348)</f>
        <v/>
      </c>
      <c r="D352" s="15"/>
      <c r="E352" s="14"/>
      <c r="F352" s="13"/>
      <c r="G352" s="14"/>
      <c r="H352" s="14"/>
      <c r="I352" s="14"/>
      <c r="J352" s="14"/>
      <c r="K352" s="14"/>
      <c r="L352" s="16"/>
      <c r="M352" s="16"/>
    </row>
    <row r="353" spans="1:13" x14ac:dyDescent="0.25">
      <c r="A353" s="12"/>
      <c r="B353" s="13" t="str">
        <f t="shared" si="5"/>
        <v/>
      </c>
      <c r="C353" s="14" t="str">
        <f>IF(OR(A353="",$B$2=""),"", 349)</f>
        <v/>
      </c>
      <c r="D353" s="15"/>
      <c r="E353" s="14"/>
      <c r="F353" s="13"/>
      <c r="G353" s="14"/>
      <c r="H353" s="14"/>
      <c r="I353" s="14"/>
      <c r="J353" s="14"/>
      <c r="K353" s="14"/>
      <c r="L353" s="16"/>
      <c r="M353" s="16"/>
    </row>
    <row r="354" spans="1:13" x14ac:dyDescent="0.25">
      <c r="A354" s="12"/>
      <c r="B354" s="13" t="str">
        <f t="shared" si="5"/>
        <v/>
      </c>
      <c r="C354" s="14" t="str">
        <f>IF(OR(A354="",$B$2=""),"", 350)</f>
        <v/>
      </c>
      <c r="D354" s="15"/>
      <c r="E354" s="14"/>
      <c r="F354" s="13"/>
      <c r="G354" s="14"/>
      <c r="H354" s="14"/>
      <c r="I354" s="14"/>
      <c r="J354" s="14"/>
      <c r="K354" s="14"/>
      <c r="L354" s="16"/>
      <c r="M354" s="16"/>
    </row>
    <row r="355" spans="1:13" x14ac:dyDescent="0.25">
      <c r="A355" s="12"/>
      <c r="B355" s="13" t="str">
        <f t="shared" si="5"/>
        <v/>
      </c>
      <c r="C355" s="14" t="str">
        <f>IF(OR(A355="",$B$2=""),"", 351)</f>
        <v/>
      </c>
      <c r="D355" s="15"/>
      <c r="E355" s="14"/>
      <c r="F355" s="13"/>
      <c r="G355" s="14"/>
      <c r="H355" s="14"/>
      <c r="I355" s="14"/>
      <c r="J355" s="14"/>
      <c r="K355" s="14"/>
      <c r="L355" s="16"/>
      <c r="M355" s="16"/>
    </row>
    <row r="356" spans="1:13" x14ac:dyDescent="0.25">
      <c r="A356" s="12"/>
      <c r="B356" s="13" t="str">
        <f t="shared" si="5"/>
        <v/>
      </c>
      <c r="C356" s="14" t="str">
        <f>IF(OR(A356="",$B$2=""),"", 352)</f>
        <v/>
      </c>
      <c r="D356" s="15"/>
      <c r="E356" s="14"/>
      <c r="F356" s="13"/>
      <c r="G356" s="14"/>
      <c r="H356" s="14"/>
      <c r="I356" s="14"/>
      <c r="J356" s="14"/>
      <c r="K356" s="14"/>
      <c r="L356" s="16"/>
      <c r="M356" s="16"/>
    </row>
    <row r="357" spans="1:13" x14ac:dyDescent="0.25">
      <c r="A357" s="12"/>
      <c r="B357" s="13" t="str">
        <f t="shared" si="5"/>
        <v/>
      </c>
      <c r="C357" s="14" t="str">
        <f>IF(OR(A357="",$B$2=""),"", 353)</f>
        <v/>
      </c>
      <c r="D357" s="15"/>
      <c r="E357" s="14"/>
      <c r="F357" s="13"/>
      <c r="G357" s="14"/>
      <c r="H357" s="14"/>
      <c r="I357" s="14"/>
      <c r="J357" s="14"/>
      <c r="K357" s="14"/>
      <c r="L357" s="16"/>
      <c r="M357" s="16"/>
    </row>
    <row r="358" spans="1:13" x14ac:dyDescent="0.25">
      <c r="A358" s="12"/>
      <c r="B358" s="13" t="str">
        <f t="shared" si="5"/>
        <v/>
      </c>
      <c r="C358" s="14" t="str">
        <f>IF(OR(A358="",$B$2=""),"", 354)</f>
        <v/>
      </c>
      <c r="D358" s="15"/>
      <c r="E358" s="14"/>
      <c r="F358" s="13"/>
      <c r="G358" s="14"/>
      <c r="H358" s="14"/>
      <c r="I358" s="14"/>
      <c r="J358" s="14"/>
      <c r="K358" s="14"/>
      <c r="L358" s="16"/>
      <c r="M358" s="16"/>
    </row>
    <row r="359" spans="1:13" x14ac:dyDescent="0.25">
      <c r="A359" s="12"/>
      <c r="B359" s="13" t="str">
        <f t="shared" si="5"/>
        <v/>
      </c>
      <c r="C359" s="14" t="str">
        <f>IF(OR(A359="",$B$2=""),"", 355)</f>
        <v/>
      </c>
      <c r="D359" s="15"/>
      <c r="E359" s="14"/>
      <c r="F359" s="13"/>
      <c r="G359" s="14"/>
      <c r="H359" s="14"/>
      <c r="I359" s="14"/>
      <c r="J359" s="14"/>
      <c r="K359" s="14"/>
      <c r="L359" s="16"/>
      <c r="M359" s="16"/>
    </row>
    <row r="360" spans="1:13" x14ac:dyDescent="0.25">
      <c r="A360" s="12"/>
      <c r="B360" s="13" t="str">
        <f t="shared" si="5"/>
        <v/>
      </c>
      <c r="C360" s="14" t="str">
        <f>IF(OR(A360="",$B$2=""),"", 356)</f>
        <v/>
      </c>
      <c r="D360" s="15"/>
      <c r="E360" s="14"/>
      <c r="F360" s="13"/>
      <c r="G360" s="14"/>
      <c r="H360" s="14"/>
      <c r="I360" s="14"/>
      <c r="J360" s="14"/>
      <c r="K360" s="14"/>
      <c r="L360" s="16"/>
      <c r="M360" s="16"/>
    </row>
    <row r="361" spans="1:13" x14ac:dyDescent="0.25">
      <c r="A361" s="12"/>
      <c r="B361" s="13" t="str">
        <f t="shared" si="5"/>
        <v/>
      </c>
      <c r="C361" s="14" t="str">
        <f>IF(OR(A361="",$B$2=""),"", 357)</f>
        <v/>
      </c>
      <c r="D361" s="15"/>
      <c r="E361" s="14"/>
      <c r="F361" s="13"/>
      <c r="G361" s="14"/>
      <c r="H361" s="14"/>
      <c r="I361" s="14"/>
      <c r="J361" s="14"/>
      <c r="K361" s="14"/>
      <c r="L361" s="16"/>
      <c r="M361" s="16"/>
    </row>
    <row r="362" spans="1:13" x14ac:dyDescent="0.25">
      <c r="A362" s="12"/>
      <c r="B362" s="13" t="str">
        <f t="shared" si="5"/>
        <v/>
      </c>
      <c r="C362" s="14" t="str">
        <f>IF(OR(A362="",$B$2=""),"", 358)</f>
        <v/>
      </c>
      <c r="D362" s="15"/>
      <c r="E362" s="14"/>
      <c r="F362" s="13"/>
      <c r="G362" s="14"/>
      <c r="H362" s="14"/>
      <c r="I362" s="14"/>
      <c r="J362" s="14"/>
      <c r="K362" s="14"/>
      <c r="L362" s="16"/>
      <c r="M362" s="16"/>
    </row>
    <row r="363" spans="1:13" x14ac:dyDescent="0.25">
      <c r="A363" s="12"/>
      <c r="B363" s="13" t="str">
        <f t="shared" si="5"/>
        <v/>
      </c>
      <c r="C363" s="14" t="str">
        <f>IF(OR(A363="",$B$2=""),"", 359)</f>
        <v/>
      </c>
      <c r="D363" s="15"/>
      <c r="E363" s="14"/>
      <c r="F363" s="13"/>
      <c r="G363" s="14"/>
      <c r="H363" s="14"/>
      <c r="I363" s="14"/>
      <c r="J363" s="14"/>
      <c r="K363" s="14"/>
      <c r="L363" s="16"/>
      <c r="M363" s="16"/>
    </row>
    <row r="364" spans="1:13" x14ac:dyDescent="0.25">
      <c r="A364" s="12"/>
      <c r="B364" s="13" t="str">
        <f t="shared" si="5"/>
        <v/>
      </c>
      <c r="C364" s="14" t="str">
        <f>IF(OR(A364="",$B$2=""),"", 360)</f>
        <v/>
      </c>
      <c r="D364" s="15"/>
      <c r="E364" s="14"/>
      <c r="F364" s="13"/>
      <c r="G364" s="14"/>
      <c r="H364" s="14"/>
      <c r="I364" s="14"/>
      <c r="J364" s="14"/>
      <c r="K364" s="14"/>
      <c r="L364" s="16"/>
      <c r="M364" s="16"/>
    </row>
    <row r="365" spans="1:13" x14ac:dyDescent="0.25">
      <c r="A365" s="12"/>
      <c r="B365" s="13" t="str">
        <f t="shared" si="5"/>
        <v/>
      </c>
      <c r="C365" s="14" t="str">
        <f>IF(OR(A365="",$B$2=""),"", 361)</f>
        <v/>
      </c>
      <c r="D365" s="15"/>
      <c r="E365" s="14"/>
      <c r="F365" s="13"/>
      <c r="G365" s="14"/>
      <c r="H365" s="14"/>
      <c r="I365" s="14"/>
      <c r="J365" s="14"/>
      <c r="K365" s="14"/>
      <c r="L365" s="16"/>
      <c r="M365" s="16"/>
    </row>
    <row r="366" spans="1:13" x14ac:dyDescent="0.25">
      <c r="A366" s="12"/>
      <c r="B366" s="13" t="str">
        <f t="shared" si="5"/>
        <v/>
      </c>
      <c r="C366" s="14" t="str">
        <f>IF(OR(A366="",$B$2=""),"", 362)</f>
        <v/>
      </c>
      <c r="D366" s="15"/>
      <c r="E366" s="14"/>
      <c r="F366" s="13"/>
      <c r="G366" s="14"/>
      <c r="H366" s="14"/>
      <c r="I366" s="14"/>
      <c r="J366" s="14"/>
      <c r="K366" s="14"/>
      <c r="L366" s="16"/>
      <c r="M366" s="16"/>
    </row>
    <row r="367" spans="1:13" x14ac:dyDescent="0.25">
      <c r="A367" s="12"/>
      <c r="B367" s="13" t="str">
        <f t="shared" si="5"/>
        <v/>
      </c>
      <c r="C367" s="14" t="str">
        <f>IF(OR(A367="",$B$2=""),"", 363)</f>
        <v/>
      </c>
      <c r="D367" s="15"/>
      <c r="E367" s="14"/>
      <c r="F367" s="13"/>
      <c r="G367" s="14"/>
      <c r="H367" s="14"/>
      <c r="I367" s="14"/>
      <c r="J367" s="14"/>
      <c r="K367" s="14"/>
      <c r="L367" s="16"/>
      <c r="M367" s="16"/>
    </row>
    <row r="368" spans="1:13" x14ac:dyDescent="0.25">
      <c r="A368" s="12"/>
      <c r="B368" s="13" t="str">
        <f t="shared" si="5"/>
        <v/>
      </c>
      <c r="C368" s="14" t="str">
        <f>IF(OR(A368="",$B$2=""),"", 364)</f>
        <v/>
      </c>
      <c r="D368" s="15"/>
      <c r="E368" s="14"/>
      <c r="F368" s="13"/>
      <c r="G368" s="14"/>
      <c r="H368" s="14"/>
      <c r="I368" s="14"/>
      <c r="J368" s="14"/>
      <c r="K368" s="14"/>
      <c r="L368" s="16"/>
      <c r="M368" s="16"/>
    </row>
    <row r="369" spans="1:13" x14ac:dyDescent="0.25">
      <c r="A369" s="12"/>
      <c r="B369" s="13" t="str">
        <f t="shared" si="5"/>
        <v/>
      </c>
      <c r="C369" s="14" t="str">
        <f>IF(OR(A369="",$B$2=""),"", 365)</f>
        <v/>
      </c>
      <c r="D369" s="15"/>
      <c r="E369" s="14"/>
      <c r="F369" s="13"/>
      <c r="G369" s="14"/>
      <c r="H369" s="14"/>
      <c r="I369" s="14"/>
      <c r="J369" s="14"/>
      <c r="K369" s="14"/>
      <c r="L369" s="16"/>
      <c r="M369" s="16"/>
    </row>
    <row r="370" spans="1:13" x14ac:dyDescent="0.25">
      <c r="A370" s="12"/>
      <c r="B370" s="13" t="str">
        <f t="shared" si="5"/>
        <v/>
      </c>
      <c r="C370" s="14" t="str">
        <f>IF(OR(A370="",$B$2=""),"", 366)</f>
        <v/>
      </c>
      <c r="D370" s="15"/>
      <c r="E370" s="14"/>
      <c r="F370" s="13"/>
      <c r="G370" s="14"/>
      <c r="H370" s="14"/>
      <c r="I370" s="14"/>
      <c r="J370" s="14"/>
      <c r="K370" s="14"/>
      <c r="L370" s="16"/>
      <c r="M370" s="16"/>
    </row>
    <row r="371" spans="1:13" x14ac:dyDescent="0.25">
      <c r="A371" s="12"/>
      <c r="B371" s="13" t="str">
        <f t="shared" si="5"/>
        <v/>
      </c>
      <c r="C371" s="14" t="str">
        <f>IF(OR(A371="",$B$2=""),"", 367)</f>
        <v/>
      </c>
      <c r="D371" s="15"/>
      <c r="E371" s="14"/>
      <c r="F371" s="13"/>
      <c r="G371" s="14"/>
      <c r="H371" s="14"/>
      <c r="I371" s="14"/>
      <c r="J371" s="14"/>
      <c r="K371" s="14"/>
      <c r="L371" s="16"/>
      <c r="M371" s="16"/>
    </row>
    <row r="372" spans="1:13" x14ac:dyDescent="0.25">
      <c r="A372" s="12"/>
      <c r="B372" s="13" t="str">
        <f t="shared" si="5"/>
        <v/>
      </c>
      <c r="C372" s="14" t="str">
        <f>IF(OR(A372="",$B$2=""),"", 368)</f>
        <v/>
      </c>
      <c r="D372" s="15"/>
      <c r="E372" s="14"/>
      <c r="F372" s="13"/>
      <c r="G372" s="14"/>
      <c r="H372" s="14"/>
      <c r="I372" s="14"/>
      <c r="J372" s="14"/>
      <c r="K372" s="14"/>
      <c r="L372" s="16"/>
      <c r="M372" s="16"/>
    </row>
    <row r="373" spans="1:13" x14ac:dyDescent="0.25">
      <c r="A373" s="12"/>
      <c r="B373" s="13" t="str">
        <f t="shared" si="5"/>
        <v/>
      </c>
      <c r="C373" s="14" t="str">
        <f>IF(OR(A373="",$B$2=""),"", 369)</f>
        <v/>
      </c>
      <c r="D373" s="15"/>
      <c r="E373" s="14"/>
      <c r="F373" s="13"/>
      <c r="G373" s="14"/>
      <c r="H373" s="14"/>
      <c r="I373" s="14"/>
      <c r="J373" s="14"/>
      <c r="K373" s="14"/>
      <c r="L373" s="16"/>
      <c r="M373" s="16"/>
    </row>
    <row r="374" spans="1:13" x14ac:dyDescent="0.25">
      <c r="A374" s="12"/>
      <c r="B374" s="13" t="str">
        <f t="shared" si="5"/>
        <v/>
      </c>
      <c r="C374" s="14" t="str">
        <f>IF(OR(A374="",$B$2=""),"", 370)</f>
        <v/>
      </c>
      <c r="D374" s="15"/>
      <c r="E374" s="14"/>
      <c r="F374" s="13"/>
      <c r="G374" s="14"/>
      <c r="H374" s="14"/>
      <c r="I374" s="14"/>
      <c r="J374" s="14"/>
      <c r="K374" s="14"/>
      <c r="L374" s="16"/>
      <c r="M374" s="16"/>
    </row>
    <row r="375" spans="1:13" x14ac:dyDescent="0.25">
      <c r="A375" s="12"/>
      <c r="B375" s="13" t="str">
        <f t="shared" si="5"/>
        <v/>
      </c>
      <c r="C375" s="14" t="str">
        <f>IF(OR(A375="",$B$2=""),"", 371)</f>
        <v/>
      </c>
      <c r="D375" s="15"/>
      <c r="E375" s="14"/>
      <c r="F375" s="13"/>
      <c r="G375" s="14"/>
      <c r="H375" s="14"/>
      <c r="I375" s="14"/>
      <c r="J375" s="14"/>
      <c r="K375" s="14"/>
      <c r="L375" s="16"/>
      <c r="M375" s="16"/>
    </row>
    <row r="376" spans="1:13" x14ac:dyDescent="0.25">
      <c r="A376" s="12"/>
      <c r="B376" s="13" t="str">
        <f t="shared" si="5"/>
        <v/>
      </c>
      <c r="C376" s="14" t="str">
        <f>IF(OR(A376="",$B$2=""),"", 372)</f>
        <v/>
      </c>
      <c r="D376" s="15"/>
      <c r="E376" s="14"/>
      <c r="F376" s="13"/>
      <c r="G376" s="14"/>
      <c r="H376" s="14"/>
      <c r="I376" s="14"/>
      <c r="J376" s="14"/>
      <c r="K376" s="14"/>
      <c r="L376" s="16"/>
      <c r="M376" s="16"/>
    </row>
    <row r="377" spans="1:13" x14ac:dyDescent="0.25">
      <c r="A377" s="12"/>
      <c r="B377" s="13" t="str">
        <f t="shared" si="5"/>
        <v/>
      </c>
      <c r="C377" s="14" t="str">
        <f>IF(OR(A377="",$B$2=""),"", 373)</f>
        <v/>
      </c>
      <c r="D377" s="15"/>
      <c r="E377" s="14"/>
      <c r="F377" s="13"/>
      <c r="G377" s="14"/>
      <c r="H377" s="14"/>
      <c r="I377" s="14"/>
      <c r="J377" s="14"/>
      <c r="K377" s="14"/>
      <c r="L377" s="16"/>
      <c r="M377" s="16"/>
    </row>
    <row r="378" spans="1:13" x14ac:dyDescent="0.25">
      <c r="A378" s="12"/>
      <c r="B378" s="13" t="str">
        <f t="shared" si="5"/>
        <v/>
      </c>
      <c r="C378" s="14" t="str">
        <f>IF(OR(A378="",$B$2=""),"", 374)</f>
        <v/>
      </c>
      <c r="D378" s="15"/>
      <c r="E378" s="14"/>
      <c r="F378" s="13"/>
      <c r="G378" s="14"/>
      <c r="H378" s="14"/>
      <c r="I378" s="14"/>
      <c r="J378" s="14"/>
      <c r="K378" s="14"/>
      <c r="L378" s="16"/>
      <c r="M378" s="16"/>
    </row>
    <row r="379" spans="1:13" x14ac:dyDescent="0.25">
      <c r="A379" s="12"/>
      <c r="B379" s="13" t="str">
        <f t="shared" si="5"/>
        <v/>
      </c>
      <c r="C379" s="14" t="str">
        <f>IF(OR(A379="",$B$2=""),"", 375)</f>
        <v/>
      </c>
      <c r="D379" s="15"/>
      <c r="E379" s="14"/>
      <c r="F379" s="13"/>
      <c r="G379" s="14"/>
      <c r="H379" s="14"/>
      <c r="I379" s="14"/>
      <c r="J379" s="14"/>
      <c r="K379" s="14"/>
      <c r="L379" s="16"/>
      <c r="M379" s="16"/>
    </row>
    <row r="380" spans="1:13" x14ac:dyDescent="0.25">
      <c r="A380" s="12"/>
      <c r="B380" s="13" t="str">
        <f t="shared" si="5"/>
        <v/>
      </c>
      <c r="C380" s="14" t="str">
        <f>IF(OR(A380="",$B$2=""),"", 376)</f>
        <v/>
      </c>
      <c r="D380" s="15"/>
      <c r="E380" s="14"/>
      <c r="F380" s="13"/>
      <c r="G380" s="14"/>
      <c r="H380" s="14"/>
      <c r="I380" s="14"/>
      <c r="J380" s="14"/>
      <c r="K380" s="14"/>
      <c r="L380" s="16"/>
      <c r="M380" s="16"/>
    </row>
    <row r="381" spans="1:13" x14ac:dyDescent="0.25">
      <c r="A381" s="12"/>
      <c r="B381" s="13" t="str">
        <f t="shared" si="5"/>
        <v/>
      </c>
      <c r="C381" s="14" t="str">
        <f>IF(OR(A381="",$B$2=""),"", 377)</f>
        <v/>
      </c>
      <c r="D381" s="15"/>
      <c r="E381" s="14"/>
      <c r="F381" s="13"/>
      <c r="G381" s="14"/>
      <c r="H381" s="14"/>
      <c r="I381" s="14"/>
      <c r="J381" s="14"/>
      <c r="K381" s="14"/>
      <c r="L381" s="16"/>
      <c r="M381" s="16"/>
    </row>
    <row r="382" spans="1:13" x14ac:dyDescent="0.25">
      <c r="A382" s="12"/>
      <c r="B382" s="13" t="str">
        <f t="shared" si="5"/>
        <v/>
      </c>
      <c r="C382" s="14" t="str">
        <f>IF(OR(A382="",$B$2=""),"", 378)</f>
        <v/>
      </c>
      <c r="D382" s="15"/>
      <c r="E382" s="14"/>
      <c r="F382" s="13"/>
      <c r="G382" s="14"/>
      <c r="H382" s="14"/>
      <c r="I382" s="14"/>
      <c r="J382" s="14"/>
      <c r="K382" s="14"/>
      <c r="L382" s="16"/>
      <c r="M382" s="16"/>
    </row>
    <row r="383" spans="1:13" x14ac:dyDescent="0.25">
      <c r="A383" s="12"/>
      <c r="B383" s="13" t="str">
        <f t="shared" si="5"/>
        <v/>
      </c>
      <c r="C383" s="14" t="str">
        <f>IF(OR(A383="",$B$2=""),"", 379)</f>
        <v/>
      </c>
      <c r="D383" s="15"/>
      <c r="E383" s="14"/>
      <c r="F383" s="13"/>
      <c r="G383" s="14"/>
      <c r="H383" s="14"/>
      <c r="I383" s="14"/>
      <c r="J383" s="14"/>
      <c r="K383" s="14"/>
      <c r="L383" s="16"/>
      <c r="M383" s="16"/>
    </row>
    <row r="384" spans="1:13" x14ac:dyDescent="0.25">
      <c r="A384" s="12"/>
      <c r="B384" s="13" t="str">
        <f t="shared" si="5"/>
        <v/>
      </c>
      <c r="C384" s="14" t="str">
        <f>IF(OR(A384="",$B$2=""),"", 380)</f>
        <v/>
      </c>
      <c r="D384" s="15"/>
      <c r="E384" s="14"/>
      <c r="F384" s="13"/>
      <c r="G384" s="14"/>
      <c r="H384" s="14"/>
      <c r="I384" s="14"/>
      <c r="J384" s="14"/>
      <c r="K384" s="14"/>
      <c r="L384" s="16"/>
      <c r="M384" s="16"/>
    </row>
    <row r="385" spans="1:13" x14ac:dyDescent="0.25">
      <c r="A385" s="12"/>
      <c r="B385" s="13" t="str">
        <f t="shared" si="5"/>
        <v/>
      </c>
      <c r="C385" s="14" t="str">
        <f>IF(OR(A385="",$B$2=""),"", 381)</f>
        <v/>
      </c>
      <c r="D385" s="15"/>
      <c r="E385" s="14"/>
      <c r="F385" s="13"/>
      <c r="G385" s="14"/>
      <c r="H385" s="14"/>
      <c r="I385" s="14"/>
      <c r="J385" s="14"/>
      <c r="K385" s="14"/>
      <c r="L385" s="16"/>
      <c r="M385" s="16"/>
    </row>
    <row r="386" spans="1:13" x14ac:dyDescent="0.25">
      <c r="A386" s="12"/>
      <c r="B386" s="13" t="str">
        <f t="shared" si="5"/>
        <v/>
      </c>
      <c r="C386" s="14" t="str">
        <f>IF(OR(A386="",$B$2=""),"", 382)</f>
        <v/>
      </c>
      <c r="D386" s="15"/>
      <c r="E386" s="14"/>
      <c r="F386" s="13"/>
      <c r="G386" s="14"/>
      <c r="H386" s="14"/>
      <c r="I386" s="14"/>
      <c r="J386" s="14"/>
      <c r="K386" s="14"/>
      <c r="L386" s="16"/>
      <c r="M386" s="16"/>
    </row>
    <row r="387" spans="1:13" x14ac:dyDescent="0.25">
      <c r="A387" s="12"/>
      <c r="B387" s="13" t="str">
        <f t="shared" si="5"/>
        <v/>
      </c>
      <c r="C387" s="14" t="str">
        <f>IF(OR(A387="",$B$2=""),"", 383)</f>
        <v/>
      </c>
      <c r="D387" s="15"/>
      <c r="E387" s="14"/>
      <c r="F387" s="13"/>
      <c r="G387" s="14"/>
      <c r="H387" s="14"/>
      <c r="I387" s="14"/>
      <c r="J387" s="14"/>
      <c r="K387" s="14"/>
      <c r="L387" s="16"/>
      <c r="M387" s="16"/>
    </row>
    <row r="388" spans="1:13" x14ac:dyDescent="0.25">
      <c r="A388" s="12"/>
      <c r="B388" s="13" t="str">
        <f t="shared" si="5"/>
        <v/>
      </c>
      <c r="C388" s="14" t="str">
        <f>IF(OR(A388="",$B$2=""),"", 384)</f>
        <v/>
      </c>
      <c r="D388" s="15"/>
      <c r="E388" s="14"/>
      <c r="F388" s="13"/>
      <c r="G388" s="14"/>
      <c r="H388" s="14"/>
      <c r="I388" s="14"/>
      <c r="J388" s="14"/>
      <c r="K388" s="14"/>
      <c r="L388" s="16"/>
      <c r="M388" s="16"/>
    </row>
    <row r="389" spans="1:13" x14ac:dyDescent="0.25">
      <c r="A389" s="12"/>
      <c r="B389" s="13" t="str">
        <f t="shared" si="5"/>
        <v/>
      </c>
      <c r="C389" s="14" t="str">
        <f>IF(OR(A389="",$B$2=""),"", 385)</f>
        <v/>
      </c>
      <c r="D389" s="15"/>
      <c r="E389" s="14"/>
      <c r="F389" s="13"/>
      <c r="G389" s="14"/>
      <c r="H389" s="14"/>
      <c r="I389" s="14"/>
      <c r="J389" s="14"/>
      <c r="K389" s="14"/>
      <c r="L389" s="16"/>
      <c r="M389" s="16"/>
    </row>
    <row r="390" spans="1:13" x14ac:dyDescent="0.25">
      <c r="A390" s="12"/>
      <c r="B390" s="13" t="str">
        <f t="shared" si="5"/>
        <v/>
      </c>
      <c r="C390" s="14" t="str">
        <f>IF(OR(A390="",$B$2=""),"", 386)</f>
        <v/>
      </c>
      <c r="D390" s="15"/>
      <c r="E390" s="14"/>
      <c r="F390" s="13"/>
      <c r="G390" s="14"/>
      <c r="H390" s="14"/>
      <c r="I390" s="14"/>
      <c r="J390" s="14"/>
      <c r="K390" s="14"/>
      <c r="L390" s="16"/>
      <c r="M390" s="16"/>
    </row>
    <row r="391" spans="1:13" x14ac:dyDescent="0.25">
      <c r="A391" s="12"/>
      <c r="B391" s="13" t="str">
        <f t="shared" si="5"/>
        <v/>
      </c>
      <c r="C391" s="14" t="str">
        <f>IF(OR(A391="",$B$2=""),"", 387)</f>
        <v/>
      </c>
      <c r="D391" s="15"/>
      <c r="E391" s="14"/>
      <c r="F391" s="13"/>
      <c r="G391" s="14"/>
      <c r="H391" s="14"/>
      <c r="I391" s="14"/>
      <c r="J391" s="14"/>
      <c r="K391" s="14"/>
      <c r="L391" s="16"/>
      <c r="M391" s="16"/>
    </row>
    <row r="392" spans="1:13" x14ac:dyDescent="0.25">
      <c r="A392" s="12"/>
      <c r="B392" s="13" t="str">
        <f t="shared" si="5"/>
        <v/>
      </c>
      <c r="C392" s="14" t="str">
        <f>IF(OR(A392="",$B$2=""),"", 388)</f>
        <v/>
      </c>
      <c r="D392" s="15"/>
      <c r="E392" s="14"/>
      <c r="F392" s="13"/>
      <c r="G392" s="14"/>
      <c r="H392" s="14"/>
      <c r="I392" s="14"/>
      <c r="J392" s="14"/>
      <c r="K392" s="14"/>
      <c r="L392" s="16"/>
      <c r="M392" s="16"/>
    </row>
    <row r="393" spans="1:13" x14ac:dyDescent="0.25">
      <c r="A393" s="12"/>
      <c r="B393" s="13" t="str">
        <f t="shared" si="5"/>
        <v/>
      </c>
      <c r="C393" s="14" t="str">
        <f>IF(OR(A393="",$B$2=""),"", 389)</f>
        <v/>
      </c>
      <c r="D393" s="15"/>
      <c r="E393" s="14"/>
      <c r="F393" s="13"/>
      <c r="G393" s="14"/>
      <c r="H393" s="14"/>
      <c r="I393" s="14"/>
      <c r="J393" s="14"/>
      <c r="K393" s="14"/>
      <c r="L393" s="16"/>
      <c r="M393" s="16"/>
    </row>
    <row r="394" spans="1:13" x14ac:dyDescent="0.25">
      <c r="A394" s="12"/>
      <c r="B394" s="13" t="str">
        <f t="shared" si="5"/>
        <v/>
      </c>
      <c r="C394" s="14" t="str">
        <f>IF(OR(A394="",$B$2=""),"", 390)</f>
        <v/>
      </c>
      <c r="D394" s="15"/>
      <c r="E394" s="14"/>
      <c r="F394" s="13"/>
      <c r="G394" s="14"/>
      <c r="H394" s="14"/>
      <c r="I394" s="14"/>
      <c r="J394" s="14"/>
      <c r="K394" s="14"/>
      <c r="L394" s="16"/>
      <c r="M394" s="16"/>
    </row>
    <row r="395" spans="1:13" x14ac:dyDescent="0.25">
      <c r="A395" s="12"/>
      <c r="B395" s="13" t="str">
        <f t="shared" si="5"/>
        <v/>
      </c>
      <c r="C395" s="14" t="str">
        <f>IF(OR(A395="",$B$2=""),"", 391)</f>
        <v/>
      </c>
      <c r="D395" s="15"/>
      <c r="E395" s="14"/>
      <c r="F395" s="13"/>
      <c r="G395" s="14"/>
      <c r="H395" s="14"/>
      <c r="I395" s="14"/>
      <c r="J395" s="14"/>
      <c r="K395" s="14"/>
      <c r="L395" s="16"/>
      <c r="M395" s="16"/>
    </row>
    <row r="396" spans="1:13" x14ac:dyDescent="0.25">
      <c r="A396" s="12"/>
      <c r="B396" s="13" t="str">
        <f t="shared" si="5"/>
        <v/>
      </c>
      <c r="C396" s="14" t="str">
        <f>IF(OR(A396="",$B$2=""),"", 392)</f>
        <v/>
      </c>
      <c r="D396" s="15"/>
      <c r="E396" s="14"/>
      <c r="F396" s="13"/>
      <c r="G396" s="14"/>
      <c r="H396" s="14"/>
      <c r="I396" s="14"/>
      <c r="J396" s="14"/>
      <c r="K396" s="14"/>
      <c r="L396" s="16"/>
      <c r="M396" s="16"/>
    </row>
    <row r="397" spans="1:13" x14ac:dyDescent="0.25">
      <c r="A397" s="12"/>
      <c r="B397" s="13" t="str">
        <f t="shared" si="5"/>
        <v/>
      </c>
      <c r="C397" s="14" t="str">
        <f>IF(OR(A397="",$B$2=""),"", 393)</f>
        <v/>
      </c>
      <c r="D397" s="15"/>
      <c r="E397" s="14"/>
      <c r="F397" s="13"/>
      <c r="G397" s="14"/>
      <c r="H397" s="14"/>
      <c r="I397" s="14"/>
      <c r="J397" s="14"/>
      <c r="K397" s="14"/>
      <c r="L397" s="16"/>
      <c r="M397" s="16"/>
    </row>
    <row r="398" spans="1:13" x14ac:dyDescent="0.25">
      <c r="A398" s="12"/>
      <c r="B398" s="13" t="str">
        <f t="shared" si="5"/>
        <v/>
      </c>
      <c r="C398" s="14" t="str">
        <f>IF(OR(A398="",$B$2=""),"", 394)</f>
        <v/>
      </c>
      <c r="D398" s="15"/>
      <c r="E398" s="14"/>
      <c r="F398" s="13"/>
      <c r="G398" s="14"/>
      <c r="H398" s="14"/>
      <c r="I398" s="14"/>
      <c r="J398" s="14"/>
      <c r="K398" s="14"/>
      <c r="L398" s="16"/>
      <c r="M398" s="16"/>
    </row>
    <row r="399" spans="1:13" x14ac:dyDescent="0.25">
      <c r="A399" s="12"/>
      <c r="B399" s="13" t="str">
        <f t="shared" si="5"/>
        <v/>
      </c>
      <c r="C399" s="14" t="str">
        <f>IF(OR(A399="",$B$2=""),"", 395)</f>
        <v/>
      </c>
      <c r="D399" s="15"/>
      <c r="E399" s="14"/>
      <c r="F399" s="13"/>
      <c r="G399" s="14"/>
      <c r="H399" s="14"/>
      <c r="I399" s="14"/>
      <c r="J399" s="14"/>
      <c r="K399" s="14"/>
      <c r="L399" s="16"/>
      <c r="M399" s="16"/>
    </row>
    <row r="400" spans="1:13" x14ac:dyDescent="0.25">
      <c r="A400" s="12"/>
      <c r="B400" s="13" t="str">
        <f t="shared" si="5"/>
        <v/>
      </c>
      <c r="C400" s="14" t="str">
        <f>IF(OR(A400="",$B$2=""),"", 396)</f>
        <v/>
      </c>
      <c r="D400" s="15"/>
      <c r="E400" s="14"/>
      <c r="F400" s="13"/>
      <c r="G400" s="14"/>
      <c r="H400" s="14"/>
      <c r="I400" s="14"/>
      <c r="J400" s="14"/>
      <c r="K400" s="14"/>
      <c r="L400" s="16"/>
      <c r="M400" s="16"/>
    </row>
    <row r="401" spans="1:13" x14ac:dyDescent="0.25">
      <c r="A401" s="12"/>
      <c r="B401" s="13" t="str">
        <f t="shared" si="5"/>
        <v/>
      </c>
      <c r="C401" s="14" t="str">
        <f>IF(OR(A401="",$B$2=""),"", 397)</f>
        <v/>
      </c>
      <c r="D401" s="15"/>
      <c r="E401" s="14"/>
      <c r="F401" s="13"/>
      <c r="G401" s="14"/>
      <c r="H401" s="14"/>
      <c r="I401" s="14"/>
      <c r="J401" s="14"/>
      <c r="K401" s="14"/>
      <c r="L401" s="16"/>
      <c r="M401" s="16"/>
    </row>
    <row r="402" spans="1:13" x14ac:dyDescent="0.25">
      <c r="A402" s="12"/>
      <c r="B402" s="13" t="str">
        <f t="shared" ref="B402:B465" si="6">IF(OR(A402="",$B$2=""),"", (A402-$B$2)*1440)</f>
        <v/>
      </c>
      <c r="C402" s="14" t="str">
        <f>IF(OR(A402="",$B$2=""),"", 398)</f>
        <v/>
      </c>
      <c r="D402" s="15"/>
      <c r="E402" s="14"/>
      <c r="F402" s="13"/>
      <c r="G402" s="14"/>
      <c r="H402" s="14"/>
      <c r="I402" s="14"/>
      <c r="J402" s="14"/>
      <c r="K402" s="14"/>
      <c r="L402" s="16"/>
      <c r="M402" s="16"/>
    </row>
    <row r="403" spans="1:13" x14ac:dyDescent="0.25">
      <c r="A403" s="12"/>
      <c r="B403" s="13" t="str">
        <f t="shared" si="6"/>
        <v/>
      </c>
      <c r="C403" s="14" t="str">
        <f>IF(OR(A403="",$B$2=""),"", 399)</f>
        <v/>
      </c>
      <c r="D403" s="15"/>
      <c r="E403" s="14"/>
      <c r="F403" s="13"/>
      <c r="G403" s="14"/>
      <c r="H403" s="14"/>
      <c r="I403" s="14"/>
      <c r="J403" s="14"/>
      <c r="K403" s="14"/>
      <c r="L403" s="16"/>
      <c r="M403" s="16"/>
    </row>
    <row r="404" spans="1:13" x14ac:dyDescent="0.25">
      <c r="A404" s="12"/>
      <c r="B404" s="13" t="str">
        <f t="shared" si="6"/>
        <v/>
      </c>
      <c r="C404" s="14" t="str">
        <f>IF(OR(A404="",$B$2=""),"", 400)</f>
        <v/>
      </c>
      <c r="D404" s="15"/>
      <c r="E404" s="14"/>
      <c r="F404" s="13"/>
      <c r="G404" s="14"/>
      <c r="H404" s="14"/>
      <c r="I404" s="14"/>
      <c r="J404" s="14"/>
      <c r="K404" s="14"/>
      <c r="L404" s="16"/>
      <c r="M404" s="16"/>
    </row>
    <row r="405" spans="1:13" x14ac:dyDescent="0.25">
      <c r="A405" s="12"/>
      <c r="B405" s="13" t="str">
        <f t="shared" si="6"/>
        <v/>
      </c>
      <c r="C405" s="14" t="str">
        <f>IF(OR(A405="",$B$2=""),"", 401)</f>
        <v/>
      </c>
      <c r="D405" s="15"/>
      <c r="E405" s="14"/>
      <c r="F405" s="13"/>
      <c r="G405" s="14"/>
      <c r="H405" s="14"/>
      <c r="I405" s="14"/>
      <c r="J405" s="14"/>
      <c r="K405" s="14"/>
      <c r="L405" s="16"/>
      <c r="M405" s="16"/>
    </row>
    <row r="406" spans="1:13" x14ac:dyDescent="0.25">
      <c r="A406" s="12"/>
      <c r="B406" s="13" t="str">
        <f t="shared" si="6"/>
        <v/>
      </c>
      <c r="C406" s="14" t="str">
        <f>IF(OR(A406="",$B$2=""),"", 402)</f>
        <v/>
      </c>
      <c r="D406" s="15"/>
      <c r="E406" s="14"/>
      <c r="F406" s="13"/>
      <c r="G406" s="14"/>
      <c r="H406" s="14"/>
      <c r="I406" s="14"/>
      <c r="J406" s="14"/>
      <c r="K406" s="14"/>
      <c r="L406" s="16"/>
      <c r="M406" s="16"/>
    </row>
    <row r="407" spans="1:13" x14ac:dyDescent="0.25">
      <c r="A407" s="12"/>
      <c r="B407" s="13" t="str">
        <f t="shared" si="6"/>
        <v/>
      </c>
      <c r="C407" s="14" t="str">
        <f>IF(OR(A407="",$B$2=""),"", 403)</f>
        <v/>
      </c>
      <c r="D407" s="15"/>
      <c r="E407" s="14"/>
      <c r="F407" s="13"/>
      <c r="G407" s="14"/>
      <c r="H407" s="14"/>
      <c r="I407" s="14"/>
      <c r="J407" s="14"/>
      <c r="K407" s="14"/>
      <c r="L407" s="16"/>
      <c r="M407" s="16"/>
    </row>
    <row r="408" spans="1:13" x14ac:dyDescent="0.25">
      <c r="A408" s="12"/>
      <c r="B408" s="13" t="str">
        <f t="shared" si="6"/>
        <v/>
      </c>
      <c r="C408" s="14" t="str">
        <f>IF(OR(A408="",$B$2=""),"", 404)</f>
        <v/>
      </c>
      <c r="D408" s="15"/>
      <c r="E408" s="14"/>
      <c r="F408" s="13"/>
      <c r="G408" s="14"/>
      <c r="H408" s="14"/>
      <c r="I408" s="14"/>
      <c r="J408" s="14"/>
      <c r="K408" s="14"/>
      <c r="L408" s="16"/>
      <c r="M408" s="16"/>
    </row>
    <row r="409" spans="1:13" x14ac:dyDescent="0.25">
      <c r="A409" s="12"/>
      <c r="B409" s="13" t="str">
        <f t="shared" si="6"/>
        <v/>
      </c>
      <c r="C409" s="14" t="str">
        <f>IF(OR(A409="",$B$2=""),"", 405)</f>
        <v/>
      </c>
      <c r="D409" s="15"/>
      <c r="E409" s="14"/>
      <c r="F409" s="13"/>
      <c r="G409" s="14"/>
      <c r="H409" s="14"/>
      <c r="I409" s="14"/>
      <c r="J409" s="14"/>
      <c r="K409" s="14"/>
      <c r="L409" s="16"/>
      <c r="M409" s="16"/>
    </row>
    <row r="410" spans="1:13" x14ac:dyDescent="0.25">
      <c r="A410" s="12"/>
      <c r="B410" s="13" t="str">
        <f t="shared" si="6"/>
        <v/>
      </c>
      <c r="C410" s="14" t="str">
        <f>IF(OR(A410="",$B$2=""),"", 406)</f>
        <v/>
      </c>
      <c r="D410" s="15"/>
      <c r="E410" s="14"/>
      <c r="F410" s="13"/>
      <c r="G410" s="14"/>
      <c r="H410" s="14"/>
      <c r="I410" s="14"/>
      <c r="J410" s="14"/>
      <c r="K410" s="14"/>
      <c r="L410" s="16"/>
      <c r="M410" s="16"/>
    </row>
    <row r="411" spans="1:13" x14ac:dyDescent="0.25">
      <c r="A411" s="12"/>
      <c r="B411" s="13" t="str">
        <f t="shared" si="6"/>
        <v/>
      </c>
      <c r="C411" s="14" t="str">
        <f>IF(OR(A411="",$B$2=""),"", 407)</f>
        <v/>
      </c>
      <c r="D411" s="15"/>
      <c r="E411" s="14"/>
      <c r="F411" s="13"/>
      <c r="G411" s="14"/>
      <c r="H411" s="14"/>
      <c r="I411" s="14"/>
      <c r="J411" s="14"/>
      <c r="K411" s="14"/>
      <c r="L411" s="16"/>
      <c r="M411" s="16"/>
    </row>
    <row r="412" spans="1:13" x14ac:dyDescent="0.25">
      <c r="A412" s="12"/>
      <c r="B412" s="13" t="str">
        <f t="shared" si="6"/>
        <v/>
      </c>
      <c r="C412" s="14" t="str">
        <f>IF(OR(A412="",$B$2=""),"", 408)</f>
        <v/>
      </c>
      <c r="D412" s="15"/>
      <c r="E412" s="14"/>
      <c r="F412" s="13"/>
      <c r="G412" s="14"/>
      <c r="H412" s="14"/>
      <c r="I412" s="14"/>
      <c r="J412" s="14"/>
      <c r="K412" s="14"/>
      <c r="L412" s="16"/>
      <c r="M412" s="16"/>
    </row>
    <row r="413" spans="1:13" x14ac:dyDescent="0.25">
      <c r="A413" s="12"/>
      <c r="B413" s="13" t="str">
        <f t="shared" si="6"/>
        <v/>
      </c>
      <c r="C413" s="14" t="str">
        <f>IF(OR(A413="",$B$2=""),"", 409)</f>
        <v/>
      </c>
      <c r="D413" s="15"/>
      <c r="E413" s="14"/>
      <c r="F413" s="13"/>
      <c r="G413" s="14"/>
      <c r="H413" s="14"/>
      <c r="I413" s="14"/>
      <c r="J413" s="14"/>
      <c r="K413" s="14"/>
      <c r="L413" s="16"/>
      <c r="M413" s="16"/>
    </row>
    <row r="414" spans="1:13" x14ac:dyDescent="0.25">
      <c r="A414" s="12"/>
      <c r="B414" s="13" t="str">
        <f t="shared" si="6"/>
        <v/>
      </c>
      <c r="C414" s="14" t="str">
        <f>IF(OR(A414="",$B$2=""),"", 410)</f>
        <v/>
      </c>
      <c r="D414" s="15"/>
      <c r="E414" s="14"/>
      <c r="F414" s="13"/>
      <c r="G414" s="14"/>
      <c r="H414" s="14"/>
      <c r="I414" s="14"/>
      <c r="J414" s="14"/>
      <c r="K414" s="14"/>
      <c r="L414" s="16"/>
      <c r="M414" s="16"/>
    </row>
    <row r="415" spans="1:13" x14ac:dyDescent="0.25">
      <c r="A415" s="12"/>
      <c r="B415" s="13" t="str">
        <f t="shared" si="6"/>
        <v/>
      </c>
      <c r="C415" s="14" t="str">
        <f>IF(OR(A415="",$B$2=""),"", 411)</f>
        <v/>
      </c>
      <c r="D415" s="15"/>
      <c r="E415" s="14"/>
      <c r="F415" s="13"/>
      <c r="G415" s="14"/>
      <c r="H415" s="14"/>
      <c r="I415" s="14"/>
      <c r="J415" s="14"/>
      <c r="K415" s="14"/>
      <c r="L415" s="16"/>
      <c r="M415" s="16"/>
    </row>
    <row r="416" spans="1:13" x14ac:dyDescent="0.25">
      <c r="A416" s="12"/>
      <c r="B416" s="13" t="str">
        <f t="shared" si="6"/>
        <v/>
      </c>
      <c r="C416" s="14" t="str">
        <f>IF(OR(A416="",$B$2=""),"", 412)</f>
        <v/>
      </c>
      <c r="D416" s="15"/>
      <c r="E416" s="14"/>
      <c r="F416" s="13"/>
      <c r="G416" s="14"/>
      <c r="H416" s="14"/>
      <c r="I416" s="14"/>
      <c r="J416" s="14"/>
      <c r="K416" s="14"/>
      <c r="L416" s="16"/>
      <c r="M416" s="16"/>
    </row>
    <row r="417" spans="1:13" x14ac:dyDescent="0.25">
      <c r="A417" s="12"/>
      <c r="B417" s="13" t="str">
        <f t="shared" si="6"/>
        <v/>
      </c>
      <c r="C417" s="14" t="str">
        <f>IF(OR(A417="",$B$2=""),"", 413)</f>
        <v/>
      </c>
      <c r="D417" s="15"/>
      <c r="E417" s="14"/>
      <c r="F417" s="13"/>
      <c r="G417" s="14"/>
      <c r="H417" s="14"/>
      <c r="I417" s="14"/>
      <c r="J417" s="14"/>
      <c r="K417" s="14"/>
      <c r="L417" s="16"/>
      <c r="M417" s="16"/>
    </row>
    <row r="418" spans="1:13" x14ac:dyDescent="0.25">
      <c r="A418" s="12"/>
      <c r="B418" s="13" t="str">
        <f t="shared" si="6"/>
        <v/>
      </c>
      <c r="C418" s="14" t="str">
        <f>IF(OR(A418="",$B$2=""),"", 414)</f>
        <v/>
      </c>
      <c r="D418" s="15"/>
      <c r="E418" s="14"/>
      <c r="F418" s="13"/>
      <c r="G418" s="14"/>
      <c r="H418" s="14"/>
      <c r="I418" s="14"/>
      <c r="J418" s="14"/>
      <c r="K418" s="14"/>
      <c r="L418" s="16"/>
      <c r="M418" s="16"/>
    </row>
    <row r="419" spans="1:13" x14ac:dyDescent="0.25">
      <c r="A419" s="12"/>
      <c r="B419" s="13" t="str">
        <f t="shared" si="6"/>
        <v/>
      </c>
      <c r="C419" s="14" t="str">
        <f>IF(OR(A419="",$B$2=""),"", 415)</f>
        <v/>
      </c>
      <c r="D419" s="15"/>
      <c r="E419" s="14"/>
      <c r="F419" s="13"/>
      <c r="G419" s="14"/>
      <c r="H419" s="14"/>
      <c r="I419" s="14"/>
      <c r="J419" s="14"/>
      <c r="K419" s="14"/>
      <c r="L419" s="16"/>
      <c r="M419" s="16"/>
    </row>
    <row r="420" spans="1:13" x14ac:dyDescent="0.25">
      <c r="A420" s="12"/>
      <c r="B420" s="13" t="str">
        <f t="shared" si="6"/>
        <v/>
      </c>
      <c r="C420" s="14" t="str">
        <f>IF(OR(A420="",$B$2=""),"", 416)</f>
        <v/>
      </c>
      <c r="D420" s="15"/>
      <c r="E420" s="14"/>
      <c r="F420" s="13"/>
      <c r="G420" s="14"/>
      <c r="H420" s="14"/>
      <c r="I420" s="14"/>
      <c r="J420" s="14"/>
      <c r="K420" s="14"/>
      <c r="L420" s="16"/>
      <c r="M420" s="16"/>
    </row>
    <row r="421" spans="1:13" x14ac:dyDescent="0.25">
      <c r="A421" s="12"/>
      <c r="B421" s="13" t="str">
        <f t="shared" si="6"/>
        <v/>
      </c>
      <c r="C421" s="14" t="str">
        <f>IF(OR(A421="",$B$2=""),"", 417)</f>
        <v/>
      </c>
      <c r="D421" s="15"/>
      <c r="E421" s="14"/>
      <c r="F421" s="13"/>
      <c r="G421" s="14"/>
      <c r="H421" s="14"/>
      <c r="I421" s="14"/>
      <c r="J421" s="14"/>
      <c r="K421" s="14"/>
      <c r="L421" s="16"/>
      <c r="M421" s="16"/>
    </row>
    <row r="422" spans="1:13" x14ac:dyDescent="0.25">
      <c r="A422" s="12"/>
      <c r="B422" s="13" t="str">
        <f t="shared" si="6"/>
        <v/>
      </c>
      <c r="C422" s="14" t="str">
        <f>IF(OR(A422="",$B$2=""),"", 418)</f>
        <v/>
      </c>
      <c r="D422" s="15"/>
      <c r="E422" s="14"/>
      <c r="F422" s="13"/>
      <c r="G422" s="14"/>
      <c r="H422" s="14"/>
      <c r="I422" s="14"/>
      <c r="J422" s="14"/>
      <c r="K422" s="14"/>
      <c r="L422" s="16"/>
      <c r="M422" s="16"/>
    </row>
    <row r="423" spans="1:13" x14ac:dyDescent="0.25">
      <c r="A423" s="12"/>
      <c r="B423" s="13" t="str">
        <f t="shared" si="6"/>
        <v/>
      </c>
      <c r="C423" s="14" t="str">
        <f>IF(OR(A423="",$B$2=""),"", 419)</f>
        <v/>
      </c>
      <c r="D423" s="15"/>
      <c r="E423" s="14"/>
      <c r="F423" s="13"/>
      <c r="G423" s="14"/>
      <c r="H423" s="14"/>
      <c r="I423" s="14"/>
      <c r="J423" s="14"/>
      <c r="K423" s="14"/>
      <c r="L423" s="16"/>
      <c r="M423" s="16"/>
    </row>
    <row r="424" spans="1:13" x14ac:dyDescent="0.25">
      <c r="A424" s="12"/>
      <c r="B424" s="13" t="str">
        <f t="shared" si="6"/>
        <v/>
      </c>
      <c r="C424" s="14" t="str">
        <f>IF(OR(A424="",$B$2=""),"", 420)</f>
        <v/>
      </c>
      <c r="D424" s="15"/>
      <c r="E424" s="14"/>
      <c r="F424" s="13"/>
      <c r="G424" s="14"/>
      <c r="H424" s="14"/>
      <c r="I424" s="14"/>
      <c r="J424" s="14"/>
      <c r="K424" s="14"/>
      <c r="L424" s="16"/>
      <c r="M424" s="16"/>
    </row>
    <row r="425" spans="1:13" x14ac:dyDescent="0.25">
      <c r="A425" s="12"/>
      <c r="B425" s="13" t="str">
        <f t="shared" si="6"/>
        <v/>
      </c>
      <c r="C425" s="14" t="str">
        <f>IF(OR(A425="",$B$2=""),"", 421)</f>
        <v/>
      </c>
      <c r="D425" s="15"/>
      <c r="E425" s="14"/>
      <c r="F425" s="13"/>
      <c r="G425" s="14"/>
      <c r="H425" s="14"/>
      <c r="I425" s="14"/>
      <c r="J425" s="14"/>
      <c r="K425" s="14"/>
      <c r="L425" s="16"/>
      <c r="M425" s="16"/>
    </row>
    <row r="426" spans="1:13" x14ac:dyDescent="0.25">
      <c r="A426" s="12"/>
      <c r="B426" s="13" t="str">
        <f t="shared" si="6"/>
        <v/>
      </c>
      <c r="C426" s="14" t="str">
        <f>IF(OR(A426="",$B$2=""),"", 422)</f>
        <v/>
      </c>
      <c r="D426" s="15"/>
      <c r="E426" s="14"/>
      <c r="F426" s="13"/>
      <c r="G426" s="14"/>
      <c r="H426" s="14"/>
      <c r="I426" s="14"/>
      <c r="J426" s="14"/>
      <c r="K426" s="14"/>
      <c r="L426" s="16"/>
      <c r="M426" s="16"/>
    </row>
    <row r="427" spans="1:13" x14ac:dyDescent="0.25">
      <c r="A427" s="12"/>
      <c r="B427" s="13" t="str">
        <f t="shared" si="6"/>
        <v/>
      </c>
      <c r="C427" s="14" t="str">
        <f>IF(OR(A427="",$B$2=""),"", 423)</f>
        <v/>
      </c>
      <c r="D427" s="15"/>
      <c r="E427" s="14"/>
      <c r="F427" s="13"/>
      <c r="G427" s="14"/>
      <c r="H427" s="14"/>
      <c r="I427" s="14"/>
      <c r="J427" s="14"/>
      <c r="K427" s="14"/>
      <c r="L427" s="16"/>
      <c r="M427" s="16"/>
    </row>
    <row r="428" spans="1:13" x14ac:dyDescent="0.25">
      <c r="A428" s="12"/>
      <c r="B428" s="13" t="str">
        <f t="shared" si="6"/>
        <v/>
      </c>
      <c r="C428" s="14" t="str">
        <f>IF(OR(A428="",$B$2=""),"", 424)</f>
        <v/>
      </c>
      <c r="D428" s="15"/>
      <c r="E428" s="14"/>
      <c r="F428" s="13"/>
      <c r="G428" s="14"/>
      <c r="H428" s="14"/>
      <c r="I428" s="14"/>
      <c r="J428" s="14"/>
      <c r="K428" s="14"/>
      <c r="L428" s="16"/>
      <c r="M428" s="16"/>
    </row>
    <row r="429" spans="1:13" x14ac:dyDescent="0.25">
      <c r="A429" s="12"/>
      <c r="B429" s="13" t="str">
        <f t="shared" si="6"/>
        <v/>
      </c>
      <c r="C429" s="14" t="str">
        <f>IF(OR(A429="",$B$2=""),"", 425)</f>
        <v/>
      </c>
      <c r="D429" s="15"/>
      <c r="E429" s="14"/>
      <c r="F429" s="13"/>
      <c r="G429" s="14"/>
      <c r="H429" s="14"/>
      <c r="I429" s="14"/>
      <c r="J429" s="14"/>
      <c r="K429" s="14"/>
      <c r="L429" s="16"/>
      <c r="M429" s="16"/>
    </row>
    <row r="430" spans="1:13" x14ac:dyDescent="0.25">
      <c r="A430" s="12"/>
      <c r="B430" s="13" t="str">
        <f t="shared" si="6"/>
        <v/>
      </c>
      <c r="C430" s="14" t="str">
        <f>IF(OR(A430="",$B$2=""),"", 426)</f>
        <v/>
      </c>
      <c r="D430" s="15"/>
      <c r="E430" s="14"/>
      <c r="F430" s="13"/>
      <c r="G430" s="14"/>
      <c r="H430" s="14"/>
      <c r="I430" s="14"/>
      <c r="J430" s="14"/>
      <c r="K430" s="14"/>
      <c r="L430" s="16"/>
      <c r="M430" s="16"/>
    </row>
    <row r="431" spans="1:13" x14ac:dyDescent="0.25">
      <c r="A431" s="12"/>
      <c r="B431" s="13" t="str">
        <f t="shared" si="6"/>
        <v/>
      </c>
      <c r="C431" s="14" t="str">
        <f>IF(OR(A431="",$B$2=""),"", 427)</f>
        <v/>
      </c>
      <c r="D431" s="15"/>
      <c r="E431" s="14"/>
      <c r="F431" s="13"/>
      <c r="G431" s="14"/>
      <c r="H431" s="14"/>
      <c r="I431" s="14"/>
      <c r="J431" s="14"/>
      <c r="K431" s="14"/>
      <c r="L431" s="16"/>
      <c r="M431" s="16"/>
    </row>
    <row r="432" spans="1:13" x14ac:dyDescent="0.25">
      <c r="A432" s="12"/>
      <c r="B432" s="13" t="str">
        <f t="shared" si="6"/>
        <v/>
      </c>
      <c r="C432" s="14" t="str">
        <f>IF(OR(A432="",$B$2=""),"", 428)</f>
        <v/>
      </c>
      <c r="D432" s="15"/>
      <c r="E432" s="14"/>
      <c r="F432" s="13"/>
      <c r="G432" s="14"/>
      <c r="H432" s="14"/>
      <c r="I432" s="14"/>
      <c r="J432" s="14"/>
      <c r="K432" s="14"/>
      <c r="L432" s="16"/>
      <c r="M432" s="16"/>
    </row>
    <row r="433" spans="1:13" x14ac:dyDescent="0.25">
      <c r="A433" s="12"/>
      <c r="B433" s="13" t="str">
        <f t="shared" si="6"/>
        <v/>
      </c>
      <c r="C433" s="14" t="str">
        <f>IF(OR(A433="",$B$2=""),"", 429)</f>
        <v/>
      </c>
      <c r="D433" s="15"/>
      <c r="E433" s="14"/>
      <c r="F433" s="13"/>
      <c r="G433" s="14"/>
      <c r="H433" s="14"/>
      <c r="I433" s="14"/>
      <c r="J433" s="14"/>
      <c r="K433" s="14"/>
      <c r="L433" s="16"/>
      <c r="M433" s="16"/>
    </row>
    <row r="434" spans="1:13" x14ac:dyDescent="0.25">
      <c r="A434" s="12"/>
      <c r="B434" s="13" t="str">
        <f t="shared" si="6"/>
        <v/>
      </c>
      <c r="C434" s="14" t="str">
        <f>IF(OR(A434="",$B$2=""),"", 430)</f>
        <v/>
      </c>
      <c r="D434" s="15"/>
      <c r="E434" s="14"/>
      <c r="F434" s="13"/>
      <c r="G434" s="14"/>
      <c r="H434" s="14"/>
      <c r="I434" s="14"/>
      <c r="J434" s="14"/>
      <c r="K434" s="14"/>
      <c r="L434" s="16"/>
      <c r="M434" s="16"/>
    </row>
    <row r="435" spans="1:13" x14ac:dyDescent="0.25">
      <c r="A435" s="12"/>
      <c r="B435" s="13" t="str">
        <f t="shared" si="6"/>
        <v/>
      </c>
      <c r="C435" s="14" t="str">
        <f>IF(OR(A435="",$B$2=""),"", 431)</f>
        <v/>
      </c>
      <c r="D435" s="15"/>
      <c r="E435" s="14"/>
      <c r="F435" s="13"/>
      <c r="G435" s="14"/>
      <c r="H435" s="14"/>
      <c r="I435" s="14"/>
      <c r="J435" s="14"/>
      <c r="K435" s="14"/>
      <c r="L435" s="16"/>
      <c r="M435" s="16"/>
    </row>
    <row r="436" spans="1:13" x14ac:dyDescent="0.25">
      <c r="A436" s="12"/>
      <c r="B436" s="13" t="str">
        <f t="shared" si="6"/>
        <v/>
      </c>
      <c r="C436" s="14" t="str">
        <f>IF(OR(A436="",$B$2=""),"", 432)</f>
        <v/>
      </c>
      <c r="D436" s="15"/>
      <c r="E436" s="14"/>
      <c r="F436" s="13"/>
      <c r="G436" s="14"/>
      <c r="H436" s="14"/>
      <c r="I436" s="14"/>
      <c r="J436" s="14"/>
      <c r="K436" s="14"/>
      <c r="L436" s="16"/>
      <c r="M436" s="16"/>
    </row>
    <row r="437" spans="1:13" x14ac:dyDescent="0.25">
      <c r="A437" s="12"/>
      <c r="B437" s="13" t="str">
        <f t="shared" si="6"/>
        <v/>
      </c>
      <c r="C437" s="14" t="str">
        <f>IF(OR(A437="",$B$2=""),"", 433)</f>
        <v/>
      </c>
      <c r="D437" s="15"/>
      <c r="E437" s="14"/>
      <c r="F437" s="13"/>
      <c r="G437" s="14"/>
      <c r="H437" s="14"/>
      <c r="I437" s="14"/>
      <c r="J437" s="14"/>
      <c r="K437" s="14"/>
      <c r="L437" s="16"/>
      <c r="M437" s="16"/>
    </row>
    <row r="438" spans="1:13" x14ac:dyDescent="0.25">
      <c r="A438" s="12"/>
      <c r="B438" s="13" t="str">
        <f t="shared" si="6"/>
        <v/>
      </c>
      <c r="C438" s="14" t="str">
        <f>IF(OR(A438="",$B$2=""),"", 434)</f>
        <v/>
      </c>
      <c r="D438" s="15"/>
      <c r="E438" s="14"/>
      <c r="F438" s="13"/>
      <c r="G438" s="14"/>
      <c r="H438" s="14"/>
      <c r="I438" s="14"/>
      <c r="J438" s="14"/>
      <c r="K438" s="14"/>
      <c r="L438" s="16"/>
      <c r="M438" s="16"/>
    </row>
    <row r="439" spans="1:13" x14ac:dyDescent="0.25">
      <c r="A439" s="12"/>
      <c r="B439" s="13" t="str">
        <f t="shared" si="6"/>
        <v/>
      </c>
      <c r="C439" s="14" t="str">
        <f>IF(OR(A439="",$B$2=""),"", 435)</f>
        <v/>
      </c>
      <c r="D439" s="15"/>
      <c r="E439" s="14"/>
      <c r="F439" s="13"/>
      <c r="G439" s="14"/>
      <c r="H439" s="14"/>
      <c r="I439" s="14"/>
      <c r="J439" s="14"/>
      <c r="K439" s="14"/>
      <c r="L439" s="16"/>
      <c r="M439" s="16"/>
    </row>
    <row r="440" spans="1:13" x14ac:dyDescent="0.25">
      <c r="A440" s="12"/>
      <c r="B440" s="13" t="str">
        <f t="shared" si="6"/>
        <v/>
      </c>
      <c r="C440" s="14" t="str">
        <f>IF(OR(A440="",$B$2=""),"", 436)</f>
        <v/>
      </c>
      <c r="D440" s="15"/>
      <c r="E440" s="14"/>
      <c r="F440" s="13"/>
      <c r="G440" s="14"/>
      <c r="H440" s="14"/>
      <c r="I440" s="14"/>
      <c r="J440" s="14"/>
      <c r="K440" s="14"/>
      <c r="L440" s="16"/>
      <c r="M440" s="16"/>
    </row>
    <row r="441" spans="1:13" x14ac:dyDescent="0.25">
      <c r="A441" s="12"/>
      <c r="B441" s="13" t="str">
        <f t="shared" si="6"/>
        <v/>
      </c>
      <c r="C441" s="14" t="str">
        <f>IF(OR(A441="",$B$2=""),"", 437)</f>
        <v/>
      </c>
      <c r="D441" s="15"/>
      <c r="E441" s="14"/>
      <c r="F441" s="13"/>
      <c r="G441" s="14"/>
      <c r="H441" s="14"/>
      <c r="I441" s="14"/>
      <c r="J441" s="14"/>
      <c r="K441" s="14"/>
      <c r="L441" s="16"/>
      <c r="M441" s="16"/>
    </row>
    <row r="442" spans="1:13" x14ac:dyDescent="0.25">
      <c r="A442" s="12"/>
      <c r="B442" s="13" t="str">
        <f t="shared" si="6"/>
        <v/>
      </c>
      <c r="C442" s="14" t="str">
        <f>IF(OR(A442="",$B$2=""),"", 438)</f>
        <v/>
      </c>
      <c r="D442" s="15"/>
      <c r="E442" s="14"/>
      <c r="F442" s="13"/>
      <c r="G442" s="14"/>
      <c r="H442" s="14"/>
      <c r="I442" s="14"/>
      <c r="J442" s="14"/>
      <c r="K442" s="14"/>
      <c r="L442" s="16"/>
      <c r="M442" s="16"/>
    </row>
    <row r="443" spans="1:13" x14ac:dyDescent="0.25">
      <c r="A443" s="12"/>
      <c r="B443" s="13" t="str">
        <f t="shared" si="6"/>
        <v/>
      </c>
      <c r="C443" s="14" t="str">
        <f>IF(OR(A443="",$B$2=""),"", 439)</f>
        <v/>
      </c>
      <c r="D443" s="15"/>
      <c r="E443" s="14"/>
      <c r="F443" s="13"/>
      <c r="G443" s="14"/>
      <c r="H443" s="14"/>
      <c r="I443" s="14"/>
      <c r="J443" s="14"/>
      <c r="K443" s="14"/>
      <c r="L443" s="16"/>
      <c r="M443" s="16"/>
    </row>
    <row r="444" spans="1:13" x14ac:dyDescent="0.25">
      <c r="A444" s="12"/>
      <c r="B444" s="13" t="str">
        <f t="shared" si="6"/>
        <v/>
      </c>
      <c r="C444" s="14" t="str">
        <f>IF(OR(A444="",$B$2=""),"", 440)</f>
        <v/>
      </c>
      <c r="D444" s="15"/>
      <c r="E444" s="14"/>
      <c r="F444" s="13"/>
      <c r="G444" s="14"/>
      <c r="H444" s="14"/>
      <c r="I444" s="14"/>
      <c r="J444" s="14"/>
      <c r="K444" s="14"/>
      <c r="L444" s="16"/>
      <c r="M444" s="16"/>
    </row>
    <row r="445" spans="1:13" x14ac:dyDescent="0.25">
      <c r="A445" s="12"/>
      <c r="B445" s="13" t="str">
        <f t="shared" si="6"/>
        <v/>
      </c>
      <c r="C445" s="14" t="str">
        <f>IF(OR(A445="",$B$2=""),"", 441)</f>
        <v/>
      </c>
      <c r="D445" s="15"/>
      <c r="E445" s="14"/>
      <c r="F445" s="13"/>
      <c r="G445" s="14"/>
      <c r="H445" s="14"/>
      <c r="I445" s="14"/>
      <c r="J445" s="14"/>
      <c r="K445" s="14"/>
      <c r="L445" s="16"/>
      <c r="M445" s="16"/>
    </row>
    <row r="446" spans="1:13" x14ac:dyDescent="0.25">
      <c r="A446" s="12"/>
      <c r="B446" s="13" t="str">
        <f t="shared" si="6"/>
        <v/>
      </c>
      <c r="C446" s="14" t="str">
        <f>IF(OR(A446="",$B$2=""),"", 442)</f>
        <v/>
      </c>
      <c r="D446" s="15"/>
      <c r="E446" s="14"/>
      <c r="F446" s="13"/>
      <c r="G446" s="14"/>
      <c r="H446" s="14"/>
      <c r="I446" s="14"/>
      <c r="J446" s="14"/>
      <c r="K446" s="14"/>
      <c r="L446" s="16"/>
      <c r="M446" s="16"/>
    </row>
    <row r="447" spans="1:13" x14ac:dyDescent="0.25">
      <c r="A447" s="12"/>
      <c r="B447" s="13" t="str">
        <f t="shared" si="6"/>
        <v/>
      </c>
      <c r="C447" s="14" t="str">
        <f>IF(OR(A447="",$B$2=""),"", 443)</f>
        <v/>
      </c>
      <c r="D447" s="15"/>
      <c r="E447" s="14"/>
      <c r="F447" s="13"/>
      <c r="G447" s="14"/>
      <c r="H447" s="14"/>
      <c r="I447" s="14"/>
      <c r="J447" s="14"/>
      <c r="K447" s="14"/>
      <c r="L447" s="16"/>
      <c r="M447" s="16"/>
    </row>
    <row r="448" spans="1:13" x14ac:dyDescent="0.25">
      <c r="A448" s="12"/>
      <c r="B448" s="13" t="str">
        <f t="shared" si="6"/>
        <v/>
      </c>
      <c r="C448" s="14" t="str">
        <f>IF(OR(A448="",$B$2=""),"", 444)</f>
        <v/>
      </c>
      <c r="D448" s="15"/>
      <c r="E448" s="14"/>
      <c r="F448" s="13"/>
      <c r="G448" s="14"/>
      <c r="H448" s="14"/>
      <c r="I448" s="14"/>
      <c r="J448" s="14"/>
      <c r="K448" s="14"/>
      <c r="L448" s="16"/>
      <c r="M448" s="16"/>
    </row>
    <row r="449" spans="1:13" x14ac:dyDescent="0.25">
      <c r="A449" s="12"/>
      <c r="B449" s="13" t="str">
        <f t="shared" si="6"/>
        <v/>
      </c>
      <c r="C449" s="14" t="str">
        <f>IF(OR(A449="",$B$2=""),"", 445)</f>
        <v/>
      </c>
      <c r="D449" s="15"/>
      <c r="E449" s="14"/>
      <c r="F449" s="13"/>
      <c r="G449" s="14"/>
      <c r="H449" s="14"/>
      <c r="I449" s="14"/>
      <c r="J449" s="14"/>
      <c r="K449" s="14"/>
      <c r="L449" s="16"/>
      <c r="M449" s="16"/>
    </row>
    <row r="450" spans="1:13" x14ac:dyDescent="0.25">
      <c r="A450" s="12"/>
      <c r="B450" s="13" t="str">
        <f t="shared" si="6"/>
        <v/>
      </c>
      <c r="C450" s="14" t="str">
        <f>IF(OR(A450="",$B$2=""),"", 446)</f>
        <v/>
      </c>
      <c r="D450" s="15"/>
      <c r="E450" s="14"/>
      <c r="F450" s="13"/>
      <c r="G450" s="14"/>
      <c r="H450" s="14"/>
      <c r="I450" s="14"/>
      <c r="J450" s="14"/>
      <c r="K450" s="14"/>
      <c r="L450" s="16"/>
      <c r="M450" s="16"/>
    </row>
    <row r="451" spans="1:13" x14ac:dyDescent="0.25">
      <c r="A451" s="12"/>
      <c r="B451" s="13" t="str">
        <f t="shared" si="6"/>
        <v/>
      </c>
      <c r="C451" s="14" t="str">
        <f>IF(OR(A451="",$B$2=""),"", 447)</f>
        <v/>
      </c>
      <c r="D451" s="15"/>
      <c r="E451" s="14"/>
      <c r="F451" s="13"/>
      <c r="G451" s="14"/>
      <c r="H451" s="14"/>
      <c r="I451" s="14"/>
      <c r="J451" s="14"/>
      <c r="K451" s="14"/>
      <c r="L451" s="16"/>
      <c r="M451" s="16"/>
    </row>
    <row r="452" spans="1:13" x14ac:dyDescent="0.25">
      <c r="A452" s="12"/>
      <c r="B452" s="13" t="str">
        <f t="shared" si="6"/>
        <v/>
      </c>
      <c r="C452" s="14" t="str">
        <f>IF(OR(A452="",$B$2=""),"", 448)</f>
        <v/>
      </c>
      <c r="D452" s="15"/>
      <c r="E452" s="14"/>
      <c r="F452" s="13"/>
      <c r="G452" s="14"/>
      <c r="H452" s="14"/>
      <c r="I452" s="14"/>
      <c r="J452" s="14"/>
      <c r="K452" s="14"/>
      <c r="L452" s="16"/>
      <c r="M452" s="16"/>
    </row>
    <row r="453" spans="1:13" x14ac:dyDescent="0.25">
      <c r="A453" s="12"/>
      <c r="B453" s="13" t="str">
        <f t="shared" si="6"/>
        <v/>
      </c>
      <c r="C453" s="14" t="str">
        <f>IF(OR(A453="",$B$2=""),"", 449)</f>
        <v/>
      </c>
      <c r="D453" s="15"/>
      <c r="E453" s="14"/>
      <c r="F453" s="13"/>
      <c r="G453" s="14"/>
      <c r="H453" s="14"/>
      <c r="I453" s="14"/>
      <c r="J453" s="14"/>
      <c r="K453" s="14"/>
      <c r="L453" s="16"/>
      <c r="M453" s="16"/>
    </row>
    <row r="454" spans="1:13" x14ac:dyDescent="0.25">
      <c r="A454" s="12"/>
      <c r="B454" s="13" t="str">
        <f t="shared" si="6"/>
        <v/>
      </c>
      <c r="C454" s="14" t="str">
        <f>IF(OR(A454="",$B$2=""),"", 450)</f>
        <v/>
      </c>
      <c r="D454" s="15"/>
      <c r="E454" s="14"/>
      <c r="F454" s="13"/>
      <c r="G454" s="14"/>
      <c r="H454" s="14"/>
      <c r="I454" s="14"/>
      <c r="J454" s="14"/>
      <c r="K454" s="14"/>
      <c r="L454" s="16"/>
      <c r="M454" s="16"/>
    </row>
    <row r="455" spans="1:13" x14ac:dyDescent="0.25">
      <c r="A455" s="12"/>
      <c r="B455" s="13" t="str">
        <f t="shared" si="6"/>
        <v/>
      </c>
      <c r="C455" s="14" t="str">
        <f>IF(OR(A455="",$B$2=""),"", 451)</f>
        <v/>
      </c>
      <c r="D455" s="15"/>
      <c r="E455" s="14"/>
      <c r="F455" s="13"/>
      <c r="G455" s="14"/>
      <c r="H455" s="14"/>
      <c r="I455" s="14"/>
      <c r="J455" s="14"/>
      <c r="K455" s="14"/>
      <c r="L455" s="16"/>
      <c r="M455" s="16"/>
    </row>
    <row r="456" spans="1:13" x14ac:dyDescent="0.25">
      <c r="A456" s="12"/>
      <c r="B456" s="13" t="str">
        <f t="shared" si="6"/>
        <v/>
      </c>
      <c r="C456" s="14" t="str">
        <f>IF(OR(A456="",$B$2=""),"", 452)</f>
        <v/>
      </c>
      <c r="D456" s="15"/>
      <c r="E456" s="14"/>
      <c r="F456" s="13"/>
      <c r="G456" s="14"/>
      <c r="H456" s="14"/>
      <c r="I456" s="14"/>
      <c r="J456" s="14"/>
      <c r="K456" s="14"/>
      <c r="L456" s="16"/>
      <c r="M456" s="16"/>
    </row>
    <row r="457" spans="1:13" x14ac:dyDescent="0.25">
      <c r="A457" s="12"/>
      <c r="B457" s="13" t="str">
        <f t="shared" si="6"/>
        <v/>
      </c>
      <c r="C457" s="14" t="str">
        <f>IF(OR(A457="",$B$2=""),"", 453)</f>
        <v/>
      </c>
      <c r="D457" s="15"/>
      <c r="E457" s="14"/>
      <c r="F457" s="13"/>
      <c r="G457" s="14"/>
      <c r="H457" s="14"/>
      <c r="I457" s="14"/>
      <c r="J457" s="14"/>
      <c r="K457" s="14"/>
      <c r="L457" s="16"/>
      <c r="M457" s="16"/>
    </row>
    <row r="458" spans="1:13" x14ac:dyDescent="0.25">
      <c r="A458" s="12"/>
      <c r="B458" s="13" t="str">
        <f t="shared" si="6"/>
        <v/>
      </c>
      <c r="C458" s="14" t="str">
        <f>IF(OR(A458="",$B$2=""),"", 454)</f>
        <v/>
      </c>
      <c r="D458" s="15"/>
      <c r="E458" s="14"/>
      <c r="F458" s="13"/>
      <c r="G458" s="14"/>
      <c r="H458" s="14"/>
      <c r="I458" s="14"/>
      <c r="J458" s="14"/>
      <c r="K458" s="14"/>
      <c r="L458" s="16"/>
      <c r="M458" s="16"/>
    </row>
    <row r="459" spans="1:13" x14ac:dyDescent="0.25">
      <c r="A459" s="12"/>
      <c r="B459" s="13" t="str">
        <f t="shared" si="6"/>
        <v/>
      </c>
      <c r="C459" s="14" t="str">
        <f>IF(OR(A459="",$B$2=""),"", 455)</f>
        <v/>
      </c>
      <c r="D459" s="15"/>
      <c r="E459" s="14"/>
      <c r="F459" s="13"/>
      <c r="G459" s="14"/>
      <c r="H459" s="14"/>
      <c r="I459" s="14"/>
      <c r="J459" s="14"/>
      <c r="K459" s="14"/>
      <c r="L459" s="16"/>
      <c r="M459" s="16"/>
    </row>
    <row r="460" spans="1:13" x14ac:dyDescent="0.25">
      <c r="A460" s="12"/>
      <c r="B460" s="13" t="str">
        <f t="shared" si="6"/>
        <v/>
      </c>
      <c r="C460" s="14" t="str">
        <f>IF(OR(A460="",$B$2=""),"", 456)</f>
        <v/>
      </c>
      <c r="D460" s="15"/>
      <c r="E460" s="14"/>
      <c r="F460" s="13"/>
      <c r="G460" s="14"/>
      <c r="H460" s="14"/>
      <c r="I460" s="14"/>
      <c r="J460" s="14"/>
      <c r="K460" s="14"/>
      <c r="L460" s="16"/>
      <c r="M460" s="16"/>
    </row>
    <row r="461" spans="1:13" x14ac:dyDescent="0.25">
      <c r="A461" s="12"/>
      <c r="B461" s="13" t="str">
        <f t="shared" si="6"/>
        <v/>
      </c>
      <c r="C461" s="14" t="str">
        <f>IF(OR(A461="",$B$2=""),"", 457)</f>
        <v/>
      </c>
      <c r="D461" s="15"/>
      <c r="E461" s="14"/>
      <c r="F461" s="13"/>
      <c r="G461" s="14"/>
      <c r="H461" s="14"/>
      <c r="I461" s="14"/>
      <c r="J461" s="14"/>
      <c r="K461" s="14"/>
      <c r="L461" s="16"/>
      <c r="M461" s="16"/>
    </row>
    <row r="462" spans="1:13" x14ac:dyDescent="0.25">
      <c r="A462" s="12"/>
      <c r="B462" s="13" t="str">
        <f t="shared" si="6"/>
        <v/>
      </c>
      <c r="C462" s="14" t="str">
        <f>IF(OR(A462="",$B$2=""),"", 458)</f>
        <v/>
      </c>
      <c r="D462" s="15"/>
      <c r="E462" s="14"/>
      <c r="F462" s="13"/>
      <c r="G462" s="14"/>
      <c r="H462" s="14"/>
      <c r="I462" s="14"/>
      <c r="J462" s="14"/>
      <c r="K462" s="14"/>
      <c r="L462" s="16"/>
      <c r="M462" s="16"/>
    </row>
    <row r="463" spans="1:13" x14ac:dyDescent="0.25">
      <c r="A463" s="12"/>
      <c r="B463" s="13" t="str">
        <f t="shared" si="6"/>
        <v/>
      </c>
      <c r="C463" s="14" t="str">
        <f>IF(OR(A463="",$B$2=""),"", 459)</f>
        <v/>
      </c>
      <c r="D463" s="15"/>
      <c r="E463" s="14"/>
      <c r="F463" s="13"/>
      <c r="G463" s="14"/>
      <c r="H463" s="14"/>
      <c r="I463" s="14"/>
      <c r="J463" s="14"/>
      <c r="K463" s="14"/>
      <c r="L463" s="16"/>
      <c r="M463" s="16"/>
    </row>
    <row r="464" spans="1:13" x14ac:dyDescent="0.25">
      <c r="A464" s="12"/>
      <c r="B464" s="13" t="str">
        <f t="shared" si="6"/>
        <v/>
      </c>
      <c r="C464" s="14" t="str">
        <f>IF(OR(A464="",$B$2=""),"", 460)</f>
        <v/>
      </c>
      <c r="D464" s="15"/>
      <c r="E464" s="14"/>
      <c r="F464" s="13"/>
      <c r="G464" s="14"/>
      <c r="H464" s="14"/>
      <c r="I464" s="14"/>
      <c r="J464" s="14"/>
      <c r="K464" s="14"/>
      <c r="L464" s="16"/>
      <c r="M464" s="16"/>
    </row>
    <row r="465" spans="1:13" x14ac:dyDescent="0.25">
      <c r="A465" s="12"/>
      <c r="B465" s="13" t="str">
        <f t="shared" si="6"/>
        <v/>
      </c>
      <c r="C465" s="14" t="str">
        <f>IF(OR(A465="",$B$2=""),"", 461)</f>
        <v/>
      </c>
      <c r="D465" s="15"/>
      <c r="E465" s="14"/>
      <c r="F465" s="13"/>
      <c r="G465" s="14"/>
      <c r="H465" s="14"/>
      <c r="I465" s="14"/>
      <c r="J465" s="14"/>
      <c r="K465" s="14"/>
      <c r="L465" s="16"/>
      <c r="M465" s="16"/>
    </row>
    <row r="466" spans="1:13" x14ac:dyDescent="0.25">
      <c r="A466" s="12"/>
      <c r="B466" s="13" t="str">
        <f t="shared" ref="B466:B504" si="7">IF(OR(A466="",$B$2=""),"", (A466-$B$2)*1440)</f>
        <v/>
      </c>
      <c r="C466" s="14" t="str">
        <f>IF(OR(A466="",$B$2=""),"", 462)</f>
        <v/>
      </c>
      <c r="D466" s="15"/>
      <c r="E466" s="14"/>
      <c r="F466" s="13"/>
      <c r="G466" s="14"/>
      <c r="H466" s="14"/>
      <c r="I466" s="14"/>
      <c r="J466" s="14"/>
      <c r="K466" s="14"/>
      <c r="L466" s="16"/>
      <c r="M466" s="16"/>
    </row>
    <row r="467" spans="1:13" x14ac:dyDescent="0.25">
      <c r="A467" s="12"/>
      <c r="B467" s="13" t="str">
        <f t="shared" si="7"/>
        <v/>
      </c>
      <c r="C467" s="14" t="str">
        <f>IF(OR(A467="",$B$2=""),"", 463)</f>
        <v/>
      </c>
      <c r="D467" s="15"/>
      <c r="E467" s="14"/>
      <c r="F467" s="13"/>
      <c r="G467" s="14"/>
      <c r="H467" s="14"/>
      <c r="I467" s="14"/>
      <c r="J467" s="14"/>
      <c r="K467" s="14"/>
      <c r="L467" s="16"/>
      <c r="M467" s="16"/>
    </row>
    <row r="468" spans="1:13" x14ac:dyDescent="0.25">
      <c r="A468" s="12"/>
      <c r="B468" s="13" t="str">
        <f t="shared" si="7"/>
        <v/>
      </c>
      <c r="C468" s="14" t="str">
        <f>IF(OR(A468="",$B$2=""),"", 464)</f>
        <v/>
      </c>
      <c r="D468" s="15"/>
      <c r="E468" s="14"/>
      <c r="F468" s="13"/>
      <c r="G468" s="14"/>
      <c r="H468" s="14"/>
      <c r="I468" s="14"/>
      <c r="J468" s="14"/>
      <c r="K468" s="14"/>
      <c r="L468" s="16"/>
      <c r="M468" s="16"/>
    </row>
    <row r="469" spans="1:13" x14ac:dyDescent="0.25">
      <c r="A469" s="12"/>
      <c r="B469" s="13" t="str">
        <f t="shared" si="7"/>
        <v/>
      </c>
      <c r="C469" s="14" t="str">
        <f>IF(OR(A469="",$B$2=""),"", 465)</f>
        <v/>
      </c>
      <c r="D469" s="15"/>
      <c r="E469" s="14"/>
      <c r="F469" s="13"/>
      <c r="G469" s="14"/>
      <c r="H469" s="14"/>
      <c r="I469" s="14"/>
      <c r="J469" s="14"/>
      <c r="K469" s="14"/>
      <c r="L469" s="16"/>
      <c r="M469" s="16"/>
    </row>
    <row r="470" spans="1:13" x14ac:dyDescent="0.25">
      <c r="A470" s="12"/>
      <c r="B470" s="13" t="str">
        <f t="shared" si="7"/>
        <v/>
      </c>
      <c r="C470" s="14" t="str">
        <f>IF(OR(A470="",$B$2=""),"", 466)</f>
        <v/>
      </c>
      <c r="D470" s="15"/>
      <c r="E470" s="14"/>
      <c r="F470" s="13"/>
      <c r="G470" s="14"/>
      <c r="H470" s="14"/>
      <c r="I470" s="14"/>
      <c r="J470" s="14"/>
      <c r="K470" s="14"/>
      <c r="L470" s="16"/>
      <c r="M470" s="16"/>
    </row>
    <row r="471" spans="1:13" x14ac:dyDescent="0.25">
      <c r="A471" s="12"/>
      <c r="B471" s="13" t="str">
        <f t="shared" si="7"/>
        <v/>
      </c>
      <c r="C471" s="14" t="str">
        <f>IF(OR(A471="",$B$2=""),"", 467)</f>
        <v/>
      </c>
      <c r="D471" s="15"/>
      <c r="E471" s="14"/>
      <c r="F471" s="13"/>
      <c r="G471" s="14"/>
      <c r="H471" s="14"/>
      <c r="I471" s="14"/>
      <c r="J471" s="14"/>
      <c r="K471" s="14"/>
      <c r="L471" s="16"/>
      <c r="M471" s="16"/>
    </row>
    <row r="472" spans="1:13" x14ac:dyDescent="0.25">
      <c r="A472" s="12"/>
      <c r="B472" s="13" t="str">
        <f t="shared" si="7"/>
        <v/>
      </c>
      <c r="C472" s="14" t="str">
        <f>IF(OR(A472="",$B$2=""),"", 468)</f>
        <v/>
      </c>
      <c r="D472" s="15"/>
      <c r="E472" s="14"/>
      <c r="F472" s="13"/>
      <c r="G472" s="14"/>
      <c r="H472" s="14"/>
      <c r="I472" s="14"/>
      <c r="J472" s="14"/>
      <c r="K472" s="14"/>
      <c r="L472" s="16"/>
      <c r="M472" s="16"/>
    </row>
    <row r="473" spans="1:13" x14ac:dyDescent="0.25">
      <c r="A473" s="12"/>
      <c r="B473" s="13" t="str">
        <f t="shared" si="7"/>
        <v/>
      </c>
      <c r="C473" s="14" t="str">
        <f>IF(OR(A473="",$B$2=""),"", 469)</f>
        <v/>
      </c>
      <c r="D473" s="15"/>
      <c r="E473" s="14"/>
      <c r="F473" s="13"/>
      <c r="G473" s="14"/>
      <c r="H473" s="14"/>
      <c r="I473" s="14"/>
      <c r="J473" s="14"/>
      <c r="K473" s="14"/>
      <c r="L473" s="16"/>
      <c r="M473" s="16"/>
    </row>
    <row r="474" spans="1:13" x14ac:dyDescent="0.25">
      <c r="A474" s="12"/>
      <c r="B474" s="13" t="str">
        <f t="shared" si="7"/>
        <v/>
      </c>
      <c r="C474" s="14" t="str">
        <f>IF(OR(A474="",$B$2=""),"", 470)</f>
        <v/>
      </c>
      <c r="D474" s="15"/>
      <c r="E474" s="14"/>
      <c r="F474" s="13"/>
      <c r="G474" s="14"/>
      <c r="H474" s="14"/>
      <c r="I474" s="14"/>
      <c r="J474" s="14"/>
      <c r="K474" s="14"/>
      <c r="L474" s="16"/>
      <c r="M474" s="16"/>
    </row>
    <row r="475" spans="1:13" x14ac:dyDescent="0.25">
      <c r="A475" s="12"/>
      <c r="B475" s="13" t="str">
        <f t="shared" si="7"/>
        <v/>
      </c>
      <c r="C475" s="14" t="str">
        <f>IF(OR(A475="",$B$2=""),"", 471)</f>
        <v/>
      </c>
      <c r="D475" s="15"/>
      <c r="E475" s="14"/>
      <c r="F475" s="13"/>
      <c r="G475" s="14"/>
      <c r="H475" s="14"/>
      <c r="I475" s="14"/>
      <c r="J475" s="14"/>
      <c r="K475" s="14"/>
      <c r="L475" s="16"/>
      <c r="M475" s="16"/>
    </row>
    <row r="476" spans="1:13" x14ac:dyDescent="0.25">
      <c r="A476" s="12"/>
      <c r="B476" s="13" t="str">
        <f t="shared" si="7"/>
        <v/>
      </c>
      <c r="C476" s="14" t="str">
        <f>IF(OR(A476="",$B$2=""),"", 472)</f>
        <v/>
      </c>
      <c r="D476" s="15"/>
      <c r="E476" s="14"/>
      <c r="F476" s="13"/>
      <c r="G476" s="14"/>
      <c r="H476" s="14"/>
      <c r="I476" s="14"/>
      <c r="J476" s="14"/>
      <c r="K476" s="14"/>
      <c r="L476" s="16"/>
      <c r="M476" s="16"/>
    </row>
    <row r="477" spans="1:13" x14ac:dyDescent="0.25">
      <c r="A477" s="12"/>
      <c r="B477" s="13" t="str">
        <f t="shared" si="7"/>
        <v/>
      </c>
      <c r="C477" s="14" t="str">
        <f>IF(OR(A477="",$B$2=""),"", 473)</f>
        <v/>
      </c>
      <c r="D477" s="15"/>
      <c r="E477" s="14"/>
      <c r="F477" s="13"/>
      <c r="G477" s="14"/>
      <c r="H477" s="14"/>
      <c r="I477" s="14"/>
      <c r="J477" s="14"/>
      <c r="K477" s="14"/>
      <c r="L477" s="16"/>
      <c r="M477" s="16"/>
    </row>
    <row r="478" spans="1:13" x14ac:dyDescent="0.25">
      <c r="A478" s="12"/>
      <c r="B478" s="13" t="str">
        <f t="shared" si="7"/>
        <v/>
      </c>
      <c r="C478" s="14" t="str">
        <f>IF(OR(A478="",$B$2=""),"", 474)</f>
        <v/>
      </c>
      <c r="D478" s="15"/>
      <c r="E478" s="14"/>
      <c r="F478" s="13"/>
      <c r="G478" s="14"/>
      <c r="H478" s="14"/>
      <c r="I478" s="14"/>
      <c r="J478" s="14"/>
      <c r="K478" s="14"/>
      <c r="L478" s="16"/>
      <c r="M478" s="16"/>
    </row>
    <row r="479" spans="1:13" x14ac:dyDescent="0.25">
      <c r="A479" s="12"/>
      <c r="B479" s="13" t="str">
        <f t="shared" si="7"/>
        <v/>
      </c>
      <c r="C479" s="14" t="str">
        <f>IF(OR(A479="",$B$2=""),"", 475)</f>
        <v/>
      </c>
      <c r="D479" s="15"/>
      <c r="E479" s="14"/>
      <c r="F479" s="13"/>
      <c r="G479" s="14"/>
      <c r="H479" s="14"/>
      <c r="I479" s="14"/>
      <c r="J479" s="14"/>
      <c r="K479" s="14"/>
      <c r="L479" s="16"/>
      <c r="M479" s="16"/>
    </row>
    <row r="480" spans="1:13" x14ac:dyDescent="0.25">
      <c r="A480" s="12"/>
      <c r="B480" s="13" t="str">
        <f t="shared" si="7"/>
        <v/>
      </c>
      <c r="C480" s="14" t="str">
        <f>IF(OR(A480="",$B$2=""),"", 476)</f>
        <v/>
      </c>
      <c r="D480" s="15"/>
      <c r="E480" s="14"/>
      <c r="F480" s="13"/>
      <c r="G480" s="14"/>
      <c r="H480" s="14"/>
      <c r="I480" s="14"/>
      <c r="J480" s="14"/>
      <c r="K480" s="14"/>
      <c r="L480" s="16"/>
      <c r="M480" s="16"/>
    </row>
    <row r="481" spans="1:13" x14ac:dyDescent="0.25">
      <c r="A481" s="12"/>
      <c r="B481" s="13" t="str">
        <f t="shared" si="7"/>
        <v/>
      </c>
      <c r="C481" s="14" t="str">
        <f>IF(OR(A481="",$B$2=""),"", 477)</f>
        <v/>
      </c>
      <c r="D481" s="15"/>
      <c r="E481" s="14"/>
      <c r="F481" s="13"/>
      <c r="G481" s="14"/>
      <c r="H481" s="14"/>
      <c r="I481" s="14"/>
      <c r="J481" s="14"/>
      <c r="K481" s="14"/>
      <c r="L481" s="16"/>
      <c r="M481" s="16"/>
    </row>
    <row r="482" spans="1:13" x14ac:dyDescent="0.25">
      <c r="A482" s="12"/>
      <c r="B482" s="13" t="str">
        <f t="shared" si="7"/>
        <v/>
      </c>
      <c r="C482" s="14" t="str">
        <f>IF(OR(A482="",$B$2=""),"", 478)</f>
        <v/>
      </c>
      <c r="D482" s="15"/>
      <c r="E482" s="14"/>
      <c r="F482" s="13"/>
      <c r="G482" s="14"/>
      <c r="H482" s="14"/>
      <c r="I482" s="14"/>
      <c r="J482" s="14"/>
      <c r="K482" s="14"/>
      <c r="L482" s="16"/>
      <c r="M482" s="16"/>
    </row>
    <row r="483" spans="1:13" x14ac:dyDescent="0.25">
      <c r="A483" s="12"/>
      <c r="B483" s="13" t="str">
        <f t="shared" si="7"/>
        <v/>
      </c>
      <c r="C483" s="14" t="str">
        <f>IF(OR(A483="",$B$2=""),"", 479)</f>
        <v/>
      </c>
      <c r="D483" s="15"/>
      <c r="E483" s="14"/>
      <c r="F483" s="13"/>
      <c r="G483" s="14"/>
      <c r="H483" s="14"/>
      <c r="I483" s="14"/>
      <c r="J483" s="14"/>
      <c r="K483" s="14"/>
      <c r="L483" s="16"/>
      <c r="M483" s="16"/>
    </row>
    <row r="484" spans="1:13" x14ac:dyDescent="0.25">
      <c r="A484" s="12"/>
      <c r="B484" s="13" t="str">
        <f t="shared" si="7"/>
        <v/>
      </c>
      <c r="C484" s="14" t="str">
        <f>IF(OR(A484="",$B$2=""),"", 480)</f>
        <v/>
      </c>
      <c r="D484" s="15"/>
      <c r="E484" s="14"/>
      <c r="F484" s="13"/>
      <c r="G484" s="14"/>
      <c r="H484" s="14"/>
      <c r="I484" s="14"/>
      <c r="J484" s="14"/>
      <c r="K484" s="14"/>
      <c r="L484" s="16"/>
      <c r="M484" s="16"/>
    </row>
    <row r="485" spans="1:13" x14ac:dyDescent="0.25">
      <c r="A485" s="12"/>
      <c r="B485" s="13" t="str">
        <f t="shared" si="7"/>
        <v/>
      </c>
      <c r="C485" s="14" t="str">
        <f>IF(OR(A485="",$B$2=""),"", 481)</f>
        <v/>
      </c>
      <c r="D485" s="15"/>
      <c r="E485" s="14"/>
      <c r="F485" s="13"/>
      <c r="G485" s="14"/>
      <c r="H485" s="14"/>
      <c r="I485" s="14"/>
      <c r="J485" s="14"/>
      <c r="K485" s="14"/>
      <c r="L485" s="16"/>
      <c r="M485" s="16"/>
    </row>
    <row r="486" spans="1:13" x14ac:dyDescent="0.25">
      <c r="A486" s="12"/>
      <c r="B486" s="13" t="str">
        <f t="shared" si="7"/>
        <v/>
      </c>
      <c r="C486" s="14" t="str">
        <f>IF(OR(A486="",$B$2=""),"", 482)</f>
        <v/>
      </c>
      <c r="D486" s="15"/>
      <c r="E486" s="14"/>
      <c r="F486" s="13"/>
      <c r="G486" s="14"/>
      <c r="H486" s="14"/>
      <c r="I486" s="14"/>
      <c r="J486" s="14"/>
      <c r="K486" s="14"/>
      <c r="L486" s="16"/>
      <c r="M486" s="16"/>
    </row>
    <row r="487" spans="1:13" x14ac:dyDescent="0.25">
      <c r="A487" s="12"/>
      <c r="B487" s="13" t="str">
        <f t="shared" si="7"/>
        <v/>
      </c>
      <c r="C487" s="14" t="str">
        <f>IF(OR(A487="",$B$2=""),"", 483)</f>
        <v/>
      </c>
      <c r="D487" s="15"/>
      <c r="E487" s="14"/>
      <c r="F487" s="13"/>
      <c r="G487" s="14"/>
      <c r="H487" s="14"/>
      <c r="I487" s="14"/>
      <c r="J487" s="14"/>
      <c r="K487" s="14"/>
      <c r="L487" s="16"/>
      <c r="M487" s="16"/>
    </row>
    <row r="488" spans="1:13" x14ac:dyDescent="0.25">
      <c r="A488" s="12"/>
      <c r="B488" s="13" t="str">
        <f t="shared" si="7"/>
        <v/>
      </c>
      <c r="C488" s="14" t="str">
        <f>IF(OR(A488="",$B$2=""),"", 484)</f>
        <v/>
      </c>
      <c r="D488" s="15"/>
      <c r="E488" s="14"/>
      <c r="F488" s="13"/>
      <c r="G488" s="14"/>
      <c r="H488" s="14"/>
      <c r="I488" s="14"/>
      <c r="J488" s="14"/>
      <c r="K488" s="14"/>
      <c r="L488" s="16"/>
      <c r="M488" s="16"/>
    </row>
    <row r="489" spans="1:13" x14ac:dyDescent="0.25">
      <c r="A489" s="12"/>
      <c r="B489" s="13" t="str">
        <f t="shared" si="7"/>
        <v/>
      </c>
      <c r="C489" s="14" t="str">
        <f>IF(OR(A489="",$B$2=""),"", 485)</f>
        <v/>
      </c>
      <c r="D489" s="15"/>
      <c r="E489" s="14"/>
      <c r="F489" s="13"/>
      <c r="G489" s="14"/>
      <c r="H489" s="14"/>
      <c r="I489" s="14"/>
      <c r="J489" s="14"/>
      <c r="K489" s="14"/>
      <c r="L489" s="16"/>
      <c r="M489" s="16"/>
    </row>
    <row r="490" spans="1:13" x14ac:dyDescent="0.25">
      <c r="A490" s="12"/>
      <c r="B490" s="13" t="str">
        <f t="shared" si="7"/>
        <v/>
      </c>
      <c r="C490" s="14" t="str">
        <f>IF(OR(A490="",$B$2=""),"", 486)</f>
        <v/>
      </c>
      <c r="D490" s="15"/>
      <c r="E490" s="14"/>
      <c r="F490" s="13"/>
      <c r="G490" s="14"/>
      <c r="H490" s="14"/>
      <c r="I490" s="14"/>
      <c r="J490" s="14"/>
      <c r="K490" s="14"/>
      <c r="L490" s="16"/>
      <c r="M490" s="16"/>
    </row>
    <row r="491" spans="1:13" x14ac:dyDescent="0.25">
      <c r="A491" s="12"/>
      <c r="B491" s="13" t="str">
        <f t="shared" si="7"/>
        <v/>
      </c>
      <c r="C491" s="14" t="str">
        <f>IF(OR(A491="",$B$2=""),"", 487)</f>
        <v/>
      </c>
      <c r="D491" s="15"/>
      <c r="E491" s="14"/>
      <c r="F491" s="13"/>
      <c r="G491" s="14"/>
      <c r="H491" s="14"/>
      <c r="I491" s="14"/>
      <c r="J491" s="14"/>
      <c r="K491" s="14"/>
      <c r="L491" s="16"/>
      <c r="M491" s="16"/>
    </row>
    <row r="492" spans="1:13" x14ac:dyDescent="0.25">
      <c r="A492" s="12"/>
      <c r="B492" s="13" t="str">
        <f t="shared" si="7"/>
        <v/>
      </c>
      <c r="C492" s="14" t="str">
        <f>IF(OR(A492="",$B$2=""),"", 488)</f>
        <v/>
      </c>
      <c r="D492" s="15"/>
      <c r="E492" s="14"/>
      <c r="F492" s="13"/>
      <c r="G492" s="14"/>
      <c r="H492" s="14"/>
      <c r="I492" s="14"/>
      <c r="J492" s="14"/>
      <c r="K492" s="14"/>
      <c r="L492" s="16"/>
      <c r="M492" s="16"/>
    </row>
    <row r="493" spans="1:13" x14ac:dyDescent="0.25">
      <c r="A493" s="12"/>
      <c r="B493" s="13" t="str">
        <f t="shared" si="7"/>
        <v/>
      </c>
      <c r="C493" s="14" t="str">
        <f>IF(OR(A493="",$B$2=""),"", 489)</f>
        <v/>
      </c>
      <c r="D493" s="15"/>
      <c r="E493" s="14"/>
      <c r="F493" s="13"/>
      <c r="G493" s="14"/>
      <c r="H493" s="14"/>
      <c r="I493" s="14"/>
      <c r="J493" s="14"/>
      <c r="K493" s="14"/>
      <c r="L493" s="16"/>
      <c r="M493" s="16"/>
    </row>
    <row r="494" spans="1:13" x14ac:dyDescent="0.25">
      <c r="A494" s="12"/>
      <c r="B494" s="13" t="str">
        <f t="shared" si="7"/>
        <v/>
      </c>
      <c r="C494" s="14" t="str">
        <f>IF(OR(A494="",$B$2=""),"", 490)</f>
        <v/>
      </c>
      <c r="D494" s="15"/>
      <c r="E494" s="14"/>
      <c r="F494" s="13"/>
      <c r="G494" s="14"/>
      <c r="H494" s="14"/>
      <c r="I494" s="14"/>
      <c r="J494" s="14"/>
      <c r="K494" s="14"/>
      <c r="L494" s="16"/>
      <c r="M494" s="16"/>
    </row>
    <row r="495" spans="1:13" x14ac:dyDescent="0.25">
      <c r="A495" s="12"/>
      <c r="B495" s="13" t="str">
        <f t="shared" si="7"/>
        <v/>
      </c>
      <c r="C495" s="14" t="str">
        <f>IF(OR(A495="",$B$2=""),"", 491)</f>
        <v/>
      </c>
      <c r="D495" s="15"/>
      <c r="E495" s="14"/>
      <c r="F495" s="13"/>
      <c r="G495" s="14"/>
      <c r="H495" s="14"/>
      <c r="I495" s="14"/>
      <c r="J495" s="14"/>
      <c r="K495" s="14"/>
      <c r="L495" s="16"/>
      <c r="M495" s="16"/>
    </row>
    <row r="496" spans="1:13" x14ac:dyDescent="0.25">
      <c r="A496" s="12"/>
      <c r="B496" s="13" t="str">
        <f t="shared" si="7"/>
        <v/>
      </c>
      <c r="C496" s="14" t="str">
        <f>IF(OR(A496="",$B$2=""),"", 492)</f>
        <v/>
      </c>
      <c r="D496" s="15"/>
      <c r="E496" s="14"/>
      <c r="F496" s="13"/>
      <c r="G496" s="14"/>
      <c r="H496" s="14"/>
      <c r="I496" s="14"/>
      <c r="J496" s="14"/>
      <c r="K496" s="14"/>
      <c r="L496" s="16"/>
      <c r="M496" s="16"/>
    </row>
    <row r="497" spans="1:13" x14ac:dyDescent="0.25">
      <c r="A497" s="12"/>
      <c r="B497" s="13" t="str">
        <f t="shared" si="7"/>
        <v/>
      </c>
      <c r="C497" s="14" t="str">
        <f>IF(OR(A497="",$B$2=""),"", 493)</f>
        <v/>
      </c>
      <c r="D497" s="15"/>
      <c r="E497" s="14"/>
      <c r="F497" s="13"/>
      <c r="G497" s="14"/>
      <c r="H497" s="14"/>
      <c r="I497" s="14"/>
      <c r="J497" s="14"/>
      <c r="K497" s="14"/>
      <c r="L497" s="16"/>
      <c r="M497" s="16"/>
    </row>
    <row r="498" spans="1:13" x14ac:dyDescent="0.25">
      <c r="A498" s="12"/>
      <c r="B498" s="13" t="str">
        <f t="shared" si="7"/>
        <v/>
      </c>
      <c r="C498" s="14" t="str">
        <f>IF(OR(A498="",$B$2=""),"", 494)</f>
        <v/>
      </c>
      <c r="D498" s="15"/>
      <c r="E498" s="14"/>
      <c r="F498" s="13"/>
      <c r="G498" s="14"/>
      <c r="H498" s="14"/>
      <c r="I498" s="14"/>
      <c r="J498" s="14"/>
      <c r="K498" s="14"/>
      <c r="L498" s="16"/>
      <c r="M498" s="16"/>
    </row>
    <row r="499" spans="1:13" x14ac:dyDescent="0.25">
      <c r="A499" s="12"/>
      <c r="B499" s="13" t="str">
        <f t="shared" si="7"/>
        <v/>
      </c>
      <c r="C499" s="14" t="str">
        <f>IF(OR(A499="",$B$2=""),"", 495)</f>
        <v/>
      </c>
      <c r="D499" s="15"/>
      <c r="E499" s="14"/>
      <c r="F499" s="13"/>
      <c r="G499" s="14"/>
      <c r="H499" s="14"/>
      <c r="I499" s="14"/>
      <c r="J499" s="14"/>
      <c r="K499" s="14"/>
      <c r="L499" s="16"/>
      <c r="M499" s="16"/>
    </row>
    <row r="500" spans="1:13" x14ac:dyDescent="0.25">
      <c r="A500" s="12"/>
      <c r="B500" s="13" t="str">
        <f t="shared" si="7"/>
        <v/>
      </c>
      <c r="C500" s="14" t="str">
        <f>IF(OR(A500="",$B$2=""),"", 496)</f>
        <v/>
      </c>
      <c r="D500" s="15"/>
      <c r="E500" s="14"/>
      <c r="F500" s="13"/>
      <c r="G500" s="14"/>
      <c r="H500" s="14"/>
      <c r="I500" s="14"/>
      <c r="J500" s="14"/>
      <c r="K500" s="14"/>
      <c r="L500" s="16"/>
      <c r="M500" s="16"/>
    </row>
    <row r="501" spans="1:13" x14ac:dyDescent="0.25">
      <c r="A501" s="12"/>
      <c r="B501" s="13" t="str">
        <f t="shared" si="7"/>
        <v/>
      </c>
      <c r="C501" s="14" t="str">
        <f>IF(OR(A501="",$B$2=""),"", 497)</f>
        <v/>
      </c>
      <c r="D501" s="15"/>
      <c r="E501" s="14"/>
      <c r="F501" s="13"/>
      <c r="G501" s="14"/>
      <c r="H501" s="14"/>
      <c r="I501" s="14"/>
      <c r="J501" s="14"/>
      <c r="K501" s="14"/>
      <c r="L501" s="16"/>
      <c r="M501" s="16"/>
    </row>
    <row r="502" spans="1:13" x14ac:dyDescent="0.25">
      <c r="A502" s="12"/>
      <c r="B502" s="13" t="str">
        <f t="shared" si="7"/>
        <v/>
      </c>
      <c r="C502" s="14" t="str">
        <f>IF(OR(A502="",$B$2=""),"", 498)</f>
        <v/>
      </c>
      <c r="D502" s="15"/>
      <c r="E502" s="14"/>
      <c r="F502" s="13"/>
      <c r="G502" s="14"/>
      <c r="H502" s="14"/>
      <c r="I502" s="14"/>
      <c r="J502" s="14"/>
      <c r="K502" s="14"/>
      <c r="L502" s="16"/>
      <c r="M502" s="16"/>
    </row>
    <row r="503" spans="1:13" x14ac:dyDescent="0.25">
      <c r="A503" s="12"/>
      <c r="B503" s="13" t="str">
        <f t="shared" si="7"/>
        <v/>
      </c>
      <c r="C503" s="14" t="str">
        <f>IF(OR(A503="",$B$2=""),"", 499)</f>
        <v/>
      </c>
      <c r="D503" s="15"/>
      <c r="E503" s="14"/>
      <c r="F503" s="13"/>
      <c r="G503" s="14"/>
      <c r="H503" s="14"/>
      <c r="I503" s="14"/>
      <c r="J503" s="14"/>
      <c r="K503" s="14"/>
      <c r="L503" s="16"/>
      <c r="M503" s="16"/>
    </row>
    <row r="504" spans="1:13" x14ac:dyDescent="0.25">
      <c r="A504" s="12"/>
      <c r="B504" s="13" t="str">
        <f t="shared" si="7"/>
        <v/>
      </c>
      <c r="C504" s="14" t="str">
        <f>IF(OR(A504="",$B$2=""),"", 500)</f>
        <v/>
      </c>
      <c r="D504" s="15"/>
      <c r="E504" s="14"/>
      <c r="F504" s="13"/>
      <c r="G504" s="14"/>
      <c r="H504" s="14"/>
      <c r="I504" s="14"/>
      <c r="J504" s="14"/>
      <c r="K504" s="14"/>
      <c r="L504" s="16"/>
      <c r="M504" s="16"/>
    </row>
  </sheetData>
  <mergeCells count="1">
    <mergeCell ref="A1:M1"/>
  </mergeCells>
  <conditionalFormatting sqref="F5:F504">
    <cfRule type="cellIs" dxfId="2" priority="1" operator="greaterThan">
      <formula>80</formula>
    </cfRule>
  </conditionalFormatting>
  <conditionalFormatting sqref="K5:K504">
    <cfRule type="cellIs" dxfId="1" priority="2" operator="greaterThan">
      <formula>0</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selection activeCell="F1" activeCellId="1" sqref="B1:B20 F1:F20"/>
    </sheetView>
  </sheetViews>
  <sheetFormatPr defaultRowHeight="15" x14ac:dyDescent="0.25"/>
  <cols>
    <col min="1" max="1" width="25.42578125" style="28" customWidth="1"/>
  </cols>
  <sheetData>
    <row r="1" spans="1:6" ht="30" customHeight="1" x14ac:dyDescent="0.25">
      <c r="A1" s="29" t="s">
        <v>232</v>
      </c>
      <c r="B1" s="29" t="s">
        <v>233</v>
      </c>
      <c r="C1" s="29" t="s">
        <v>235</v>
      </c>
      <c r="D1" s="29" t="s">
        <v>236</v>
      </c>
      <c r="E1" s="29" t="s">
        <v>237</v>
      </c>
      <c r="F1" s="29" t="s">
        <v>238</v>
      </c>
    </row>
    <row r="2" spans="1:6" x14ac:dyDescent="0.25">
      <c r="A2" s="30">
        <v>46054.375</v>
      </c>
      <c r="B2" s="31">
        <v>0</v>
      </c>
      <c r="C2" s="32">
        <v>3.8</v>
      </c>
      <c r="D2" s="31">
        <v>1.8</v>
      </c>
      <c r="E2" s="32">
        <v>297</v>
      </c>
      <c r="F2" s="32">
        <v>4</v>
      </c>
    </row>
    <row r="3" spans="1:6" x14ac:dyDescent="0.25">
      <c r="A3" s="33">
        <v>46054.378472222219</v>
      </c>
      <c r="B3" s="34">
        <v>5</v>
      </c>
      <c r="C3" s="35">
        <v>6.3159999999999998</v>
      </c>
      <c r="D3" s="34">
        <v>0.2</v>
      </c>
      <c r="E3" s="35">
        <v>422</v>
      </c>
      <c r="F3" s="35">
        <v>12</v>
      </c>
    </row>
    <row r="4" spans="1:6" x14ac:dyDescent="0.25">
      <c r="A4" s="30">
        <v>46054.381944444453</v>
      </c>
      <c r="B4" s="31">
        <v>10</v>
      </c>
      <c r="C4" s="32">
        <v>9.42</v>
      </c>
      <c r="D4" s="31">
        <v>2.2999999999999998</v>
      </c>
      <c r="E4" s="32">
        <v>464</v>
      </c>
      <c r="F4" s="32">
        <v>7</v>
      </c>
    </row>
    <row r="5" spans="1:6" x14ac:dyDescent="0.25">
      <c r="A5" s="33">
        <v>46054.385416493053</v>
      </c>
      <c r="B5" s="34">
        <v>15</v>
      </c>
      <c r="C5" s="35">
        <v>11.42</v>
      </c>
      <c r="D5" s="34">
        <v>2.2999999999999998</v>
      </c>
      <c r="E5" s="35">
        <v>481</v>
      </c>
      <c r="F5" s="35">
        <v>11</v>
      </c>
    </row>
    <row r="6" spans="1:6" x14ac:dyDescent="0.25">
      <c r="A6" s="30">
        <v>46054.388888657413</v>
      </c>
      <c r="B6" s="31">
        <v>20</v>
      </c>
      <c r="C6" s="32">
        <v>12.183999999999999</v>
      </c>
      <c r="D6" s="31">
        <v>3</v>
      </c>
      <c r="E6" s="32">
        <v>470</v>
      </c>
      <c r="F6" s="32">
        <v>7</v>
      </c>
    </row>
    <row r="7" spans="1:6" x14ac:dyDescent="0.25">
      <c r="A7" s="33">
        <v>46054.392360821759</v>
      </c>
      <c r="B7" s="34">
        <v>25</v>
      </c>
      <c r="C7" s="35">
        <v>12.5</v>
      </c>
      <c r="D7" s="34">
        <v>3.2</v>
      </c>
      <c r="E7" s="35">
        <v>495</v>
      </c>
      <c r="F7" s="35">
        <v>9</v>
      </c>
    </row>
    <row r="8" spans="1:6" x14ac:dyDescent="0.25">
      <c r="A8" s="30">
        <v>46054.395832986113</v>
      </c>
      <c r="B8" s="31">
        <v>30</v>
      </c>
      <c r="C8" s="32">
        <v>12.496</v>
      </c>
      <c r="D8" s="31">
        <v>3</v>
      </c>
      <c r="E8" s="32">
        <v>475</v>
      </c>
      <c r="F8" s="32">
        <v>6</v>
      </c>
    </row>
    <row r="9" spans="1:6" x14ac:dyDescent="0.25">
      <c r="A9" s="33">
        <v>46054.399305150473</v>
      </c>
      <c r="B9" s="34">
        <v>35</v>
      </c>
      <c r="C9" s="35">
        <v>12.72</v>
      </c>
      <c r="D9" s="34">
        <v>2.8</v>
      </c>
      <c r="E9" s="35">
        <v>475</v>
      </c>
      <c r="F9" s="35">
        <v>7</v>
      </c>
    </row>
    <row r="10" spans="1:6" x14ac:dyDescent="0.25">
      <c r="A10" s="30">
        <v>46054.402777314812</v>
      </c>
      <c r="B10" s="31">
        <v>40</v>
      </c>
      <c r="C10" s="32">
        <v>13</v>
      </c>
      <c r="D10" s="31">
        <v>0</v>
      </c>
      <c r="E10" s="32">
        <v>500</v>
      </c>
      <c r="F10" s="32">
        <v>6</v>
      </c>
    </row>
    <row r="11" spans="1:6" x14ac:dyDescent="0.25">
      <c r="A11" s="33">
        <v>46054.406249479172</v>
      </c>
      <c r="B11" s="34">
        <v>45</v>
      </c>
      <c r="C11" s="35">
        <v>13.04</v>
      </c>
      <c r="D11" s="34">
        <v>0</v>
      </c>
      <c r="E11" s="35">
        <v>547</v>
      </c>
      <c r="F11" s="35">
        <v>7</v>
      </c>
    </row>
    <row r="12" spans="1:6" x14ac:dyDescent="0.25">
      <c r="A12" s="30">
        <v>46054.409721643518</v>
      </c>
      <c r="B12" s="31">
        <v>50</v>
      </c>
      <c r="C12" s="32">
        <v>12.5</v>
      </c>
      <c r="D12" s="31">
        <v>1.9</v>
      </c>
      <c r="E12" s="32">
        <v>598</v>
      </c>
      <c r="F12" s="32">
        <v>6</v>
      </c>
    </row>
    <row r="13" spans="1:6" x14ac:dyDescent="0.25">
      <c r="A13" s="33">
        <v>46054.413193807872</v>
      </c>
      <c r="B13" s="34">
        <v>55</v>
      </c>
      <c r="C13" s="35">
        <v>12.472</v>
      </c>
      <c r="D13" s="34">
        <v>0.6</v>
      </c>
      <c r="E13" s="35">
        <v>648</v>
      </c>
      <c r="F13" s="35">
        <v>7</v>
      </c>
    </row>
    <row r="14" spans="1:6" x14ac:dyDescent="0.25">
      <c r="A14" s="30">
        <v>46054.416665972232</v>
      </c>
      <c r="B14" s="31">
        <v>60</v>
      </c>
      <c r="C14" s="32">
        <v>12.512</v>
      </c>
      <c r="D14" s="31">
        <v>0</v>
      </c>
      <c r="E14" s="32">
        <v>695</v>
      </c>
      <c r="F14" s="32">
        <v>7</v>
      </c>
    </row>
    <row r="15" spans="1:6" x14ac:dyDescent="0.25">
      <c r="A15" s="33">
        <v>46054.420138078713</v>
      </c>
      <c r="B15" s="34">
        <v>65</v>
      </c>
      <c r="C15" s="35">
        <v>12.555999999999999</v>
      </c>
      <c r="D15" s="34">
        <v>0</v>
      </c>
      <c r="E15" s="35">
        <v>487</v>
      </c>
      <c r="F15" s="35">
        <v>7</v>
      </c>
    </row>
    <row r="16" spans="1:6" x14ac:dyDescent="0.25">
      <c r="A16" s="30">
        <v>46054.423610243059</v>
      </c>
      <c r="B16" s="31">
        <v>70</v>
      </c>
      <c r="C16" s="32">
        <v>12.532</v>
      </c>
      <c r="D16" s="31">
        <v>0.9</v>
      </c>
      <c r="E16" s="32">
        <v>483</v>
      </c>
      <c r="F16" s="32">
        <v>7</v>
      </c>
    </row>
    <row r="17" spans="1:6" x14ac:dyDescent="0.25">
      <c r="A17" s="33">
        <v>46054.427082291673</v>
      </c>
      <c r="B17" s="34">
        <v>75</v>
      </c>
      <c r="C17" s="35">
        <v>12.536</v>
      </c>
      <c r="D17" s="34">
        <v>1.1000000000000001</v>
      </c>
      <c r="E17" s="35">
        <v>483</v>
      </c>
      <c r="F17" s="35">
        <v>7</v>
      </c>
    </row>
    <row r="18" spans="1:6" x14ac:dyDescent="0.25">
      <c r="A18" s="30">
        <v>46054.430554398154</v>
      </c>
      <c r="B18" s="31">
        <v>80</v>
      </c>
      <c r="C18" s="32">
        <v>12.587999999999999</v>
      </c>
      <c r="D18" s="31">
        <v>0</v>
      </c>
      <c r="E18" s="32">
        <v>536</v>
      </c>
      <c r="F18" s="32">
        <v>7</v>
      </c>
    </row>
    <row r="19" spans="1:6" x14ac:dyDescent="0.25">
      <c r="A19" s="33">
        <v>46054.434026504627</v>
      </c>
      <c r="B19" s="34">
        <v>85</v>
      </c>
      <c r="C19" s="35">
        <v>12.552</v>
      </c>
      <c r="D19" s="34">
        <v>0</v>
      </c>
      <c r="E19" s="35">
        <v>575</v>
      </c>
      <c r="F19" s="35">
        <v>6</v>
      </c>
    </row>
    <row r="20" spans="1:6" x14ac:dyDescent="0.25">
      <c r="A20" s="30">
        <v>46054.437498206018</v>
      </c>
      <c r="B20" s="31">
        <v>90</v>
      </c>
      <c r="C20" s="32">
        <v>812.15599999999995</v>
      </c>
      <c r="D20" s="31">
        <v>7.4</v>
      </c>
      <c r="E20" s="32">
        <v>625</v>
      </c>
      <c r="F20" s="32">
        <v>7</v>
      </c>
    </row>
  </sheetData>
  <conditionalFormatting sqref="D2:D20">
    <cfRule type="cellIs" dxfId="0" priority="1" operator="greaterThan">
      <formula>80</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6"/>
  <sheetViews>
    <sheetView showGridLines="0" topLeftCell="A38" workbookViewId="0">
      <selection activeCell="H7" sqref="A1:XFD1048576"/>
    </sheetView>
  </sheetViews>
  <sheetFormatPr defaultRowHeight="15" x14ac:dyDescent="0.25"/>
  <cols>
    <col min="1" max="1" width="3" style="28" customWidth="1"/>
    <col min="2" max="2" width="18" style="28" customWidth="1"/>
    <col min="3" max="3" width="32" style="28" customWidth="1"/>
    <col min="4" max="4" width="24" style="28" customWidth="1"/>
    <col min="5" max="5" width="36" style="28" customWidth="1"/>
    <col min="6" max="11" width="16" style="28" customWidth="1"/>
  </cols>
  <sheetData>
    <row r="1" spans="2:11" ht="30" customHeight="1" x14ac:dyDescent="0.25">
      <c r="B1" s="40" t="s">
        <v>128</v>
      </c>
      <c r="C1" s="37"/>
      <c r="D1" s="37"/>
      <c r="E1" s="37"/>
      <c r="F1" s="37"/>
      <c r="G1" s="37"/>
      <c r="H1" s="37"/>
      <c r="I1" s="37"/>
      <c r="J1" s="37"/>
      <c r="K1" s="37"/>
    </row>
    <row r="2" spans="2:11" x14ac:dyDescent="0.25">
      <c r="B2" s="1" t="s">
        <v>129</v>
      </c>
      <c r="C2" s="2" t="s">
        <v>130</v>
      </c>
      <c r="E2" s="1" t="s">
        <v>131</v>
      </c>
      <c r="F2" s="3">
        <v>46054</v>
      </c>
    </row>
    <row r="4" spans="2:11" ht="21.95" customHeight="1" x14ac:dyDescent="0.25">
      <c r="B4" s="46" t="s">
        <v>132</v>
      </c>
      <c r="C4" s="37"/>
      <c r="D4" s="37"/>
      <c r="E4" s="37"/>
      <c r="F4" s="37"/>
      <c r="G4" s="37"/>
      <c r="H4" s="37"/>
      <c r="I4" s="37"/>
      <c r="J4" s="37"/>
      <c r="K4" s="37"/>
    </row>
    <row r="5" spans="2:11" ht="18" customHeight="1" x14ac:dyDescent="0.25">
      <c r="B5" s="4" t="s">
        <v>133</v>
      </c>
      <c r="C5" s="41" t="s">
        <v>134</v>
      </c>
      <c r="D5" s="42"/>
      <c r="E5" s="42"/>
      <c r="F5" s="42"/>
      <c r="G5" s="42"/>
      <c r="H5" s="42"/>
      <c r="I5" s="42"/>
      <c r="J5" s="42"/>
      <c r="K5" s="43"/>
    </row>
    <row r="6" spans="2:11" ht="18" customHeight="1" x14ac:dyDescent="0.25">
      <c r="B6" s="4" t="s">
        <v>135</v>
      </c>
      <c r="C6" s="41" t="s">
        <v>136</v>
      </c>
      <c r="D6" s="42"/>
      <c r="E6" s="42"/>
      <c r="F6" s="42"/>
      <c r="G6" s="42"/>
      <c r="H6" s="42"/>
      <c r="I6" s="42"/>
      <c r="J6" s="42"/>
      <c r="K6" s="43"/>
    </row>
    <row r="7" spans="2:11" ht="36" customHeight="1" x14ac:dyDescent="0.25">
      <c r="B7" s="4" t="s">
        <v>137</v>
      </c>
      <c r="C7" s="41" t="s">
        <v>138</v>
      </c>
      <c r="D7" s="42"/>
      <c r="E7" s="42"/>
      <c r="F7" s="42"/>
      <c r="G7" s="42"/>
      <c r="H7" s="42"/>
      <c r="I7" s="42"/>
      <c r="J7" s="42"/>
      <c r="K7" s="43"/>
    </row>
    <row r="8" spans="2:11" ht="33.75" customHeight="1" x14ac:dyDescent="0.25">
      <c r="B8" s="4" t="s">
        <v>139</v>
      </c>
      <c r="C8" s="41" t="s">
        <v>140</v>
      </c>
      <c r="D8" s="42"/>
      <c r="E8" s="42"/>
      <c r="F8" s="42"/>
      <c r="G8" s="42"/>
      <c r="H8" s="42"/>
      <c r="I8" s="42"/>
      <c r="J8" s="42"/>
      <c r="K8" s="43"/>
    </row>
    <row r="9" spans="2:11" ht="18" customHeight="1" x14ac:dyDescent="0.25">
      <c r="B9" s="4" t="s">
        <v>141</v>
      </c>
      <c r="C9" s="41" t="s">
        <v>142</v>
      </c>
      <c r="D9" s="42"/>
      <c r="E9" s="42"/>
      <c r="F9" s="42"/>
      <c r="G9" s="42"/>
      <c r="H9" s="42"/>
      <c r="I9" s="42"/>
      <c r="J9" s="42"/>
      <c r="K9" s="43"/>
    </row>
    <row r="10" spans="2:11" ht="18" customHeight="1" x14ac:dyDescent="0.25">
      <c r="B10" s="4" t="s">
        <v>143</v>
      </c>
      <c r="C10" s="57" t="s">
        <v>144</v>
      </c>
      <c r="D10" s="42"/>
      <c r="E10" s="42"/>
      <c r="F10" s="42"/>
      <c r="G10" s="42"/>
      <c r="H10" s="42"/>
      <c r="I10" s="42"/>
      <c r="J10" s="42"/>
      <c r="K10" s="43"/>
    </row>
    <row r="11" spans="2:11" ht="18" customHeight="1" x14ac:dyDescent="0.25">
      <c r="B11" s="4" t="s">
        <v>145</v>
      </c>
      <c r="C11" s="56" t="s">
        <v>146</v>
      </c>
      <c r="D11" s="42"/>
      <c r="E11" s="42"/>
      <c r="F11" s="42"/>
      <c r="G11" s="42"/>
      <c r="H11" s="42"/>
      <c r="I11" s="42"/>
      <c r="J11" s="42"/>
      <c r="K11" s="43"/>
    </row>
    <row r="12" spans="2:11" ht="42" customHeight="1" x14ac:dyDescent="0.25">
      <c r="B12" s="4" t="s">
        <v>147</v>
      </c>
      <c r="C12" s="56">
        <v>90</v>
      </c>
      <c r="D12" s="42"/>
      <c r="E12" s="42"/>
      <c r="F12" s="42"/>
      <c r="G12" s="42"/>
      <c r="H12" s="42"/>
      <c r="I12" s="42"/>
      <c r="J12" s="42"/>
      <c r="K12" s="43"/>
    </row>
    <row r="13" spans="2:11" ht="30" customHeight="1" x14ac:dyDescent="0.25">
      <c r="B13" s="4" t="s">
        <v>148</v>
      </c>
      <c r="C13" s="41">
        <v>90</v>
      </c>
      <c r="D13" s="42"/>
      <c r="E13" s="42"/>
      <c r="F13" s="42"/>
      <c r="G13" s="42"/>
      <c r="H13" s="42"/>
      <c r="I13" s="42"/>
      <c r="J13" s="42"/>
      <c r="K13" s="43"/>
    </row>
    <row r="15" spans="2:11" ht="21.95" customHeight="1" x14ac:dyDescent="0.25">
      <c r="B15" s="46" t="s">
        <v>149</v>
      </c>
      <c r="C15" s="37"/>
      <c r="D15" s="37"/>
      <c r="E15" s="37"/>
      <c r="F15" s="37"/>
      <c r="G15" s="37"/>
      <c r="H15" s="37"/>
      <c r="I15" s="37"/>
      <c r="J15" s="37"/>
      <c r="K15" s="37"/>
    </row>
    <row r="16" spans="2:11" ht="18" customHeight="1" x14ac:dyDescent="0.25">
      <c r="B16" s="4" t="s">
        <v>150</v>
      </c>
      <c r="C16" s="41" t="s">
        <v>151</v>
      </c>
      <c r="D16" s="42"/>
      <c r="E16" s="42"/>
      <c r="F16" s="42"/>
      <c r="G16" s="42"/>
      <c r="H16" s="42"/>
      <c r="I16" s="42"/>
      <c r="J16" s="42"/>
      <c r="K16" s="43"/>
    </row>
    <row r="17" spans="2:11" ht="18" customHeight="1" x14ac:dyDescent="0.25">
      <c r="B17" s="4" t="s">
        <v>152</v>
      </c>
      <c r="C17" s="41" t="s">
        <v>153</v>
      </c>
      <c r="D17" s="42"/>
      <c r="E17" s="42"/>
      <c r="F17" s="42"/>
      <c r="G17" s="42"/>
      <c r="H17" s="42"/>
      <c r="I17" s="42"/>
      <c r="J17" s="42"/>
      <c r="K17" s="43"/>
    </row>
    <row r="18" spans="2:11" ht="18" customHeight="1" x14ac:dyDescent="0.25">
      <c r="B18" s="4" t="s">
        <v>154</v>
      </c>
      <c r="C18" s="41" t="s">
        <v>155</v>
      </c>
      <c r="D18" s="42"/>
      <c r="E18" s="42"/>
      <c r="F18" s="42"/>
      <c r="G18" s="42"/>
      <c r="H18" s="42"/>
      <c r="I18" s="42"/>
      <c r="J18" s="42"/>
      <c r="K18" s="43"/>
    </row>
    <row r="19" spans="2:11" ht="18" customHeight="1" x14ac:dyDescent="0.25">
      <c r="B19" s="4" t="s">
        <v>156</v>
      </c>
      <c r="C19" s="41" t="s">
        <v>157</v>
      </c>
      <c r="D19" s="42"/>
      <c r="E19" s="42"/>
      <c r="F19" s="42"/>
      <c r="G19" s="42"/>
      <c r="H19" s="42"/>
      <c r="I19" s="42"/>
      <c r="J19" s="42"/>
      <c r="K19" s="43"/>
    </row>
    <row r="20" spans="2:11" ht="18" customHeight="1" x14ac:dyDescent="0.25">
      <c r="B20" s="4" t="s">
        <v>158</v>
      </c>
      <c r="C20" s="41" t="s">
        <v>159</v>
      </c>
      <c r="D20" s="42"/>
      <c r="E20" s="42"/>
      <c r="F20" s="42"/>
      <c r="G20" s="42"/>
      <c r="H20" s="42"/>
      <c r="I20" s="42"/>
      <c r="J20" s="42"/>
      <c r="K20" s="43"/>
    </row>
    <row r="21" spans="2:11" ht="18" customHeight="1" x14ac:dyDescent="0.25">
      <c r="B21" s="4" t="s">
        <v>160</v>
      </c>
      <c r="C21" s="41" t="s">
        <v>161</v>
      </c>
      <c r="D21" s="42"/>
      <c r="E21" s="42"/>
      <c r="F21" s="42"/>
      <c r="G21" s="42"/>
      <c r="H21" s="42"/>
      <c r="I21" s="42"/>
      <c r="J21" s="42"/>
      <c r="K21" s="43"/>
    </row>
    <row r="23" spans="2:11" ht="21.95" customHeight="1" x14ac:dyDescent="0.25">
      <c r="B23" s="46" t="s">
        <v>162</v>
      </c>
      <c r="C23" s="37"/>
      <c r="D23" s="37"/>
      <c r="E23" s="37"/>
      <c r="F23" s="37"/>
      <c r="G23" s="37"/>
      <c r="H23" s="37"/>
      <c r="I23" s="37"/>
      <c r="J23" s="37"/>
      <c r="K23" s="37"/>
    </row>
    <row r="24" spans="2:11" ht="18" customHeight="1" x14ac:dyDescent="0.25">
      <c r="B24" s="4" t="s">
        <v>163</v>
      </c>
      <c r="C24" s="56" t="s">
        <v>164</v>
      </c>
      <c r="D24" s="42"/>
      <c r="E24" s="42"/>
      <c r="F24" s="42"/>
      <c r="G24" s="42"/>
      <c r="H24" s="42"/>
      <c r="I24" s="42"/>
      <c r="J24" s="42"/>
      <c r="K24" s="43"/>
    </row>
    <row r="25" spans="2:11" ht="37.5" customHeight="1" x14ac:dyDescent="0.25">
      <c r="B25" s="4" t="s">
        <v>165</v>
      </c>
      <c r="C25" s="56" t="s">
        <v>166</v>
      </c>
      <c r="D25" s="42"/>
      <c r="E25" s="42"/>
      <c r="F25" s="42"/>
      <c r="G25" s="42"/>
      <c r="H25" s="42"/>
      <c r="I25" s="42"/>
      <c r="J25" s="42"/>
      <c r="K25" s="43"/>
    </row>
    <row r="26" spans="2:11" ht="30.75" customHeight="1" x14ac:dyDescent="0.25">
      <c r="B26" s="4" t="s">
        <v>167</v>
      </c>
      <c r="C26" s="41" t="s">
        <v>168</v>
      </c>
      <c r="D26" s="42"/>
      <c r="E26" s="42"/>
      <c r="F26" s="42"/>
      <c r="G26" s="42"/>
      <c r="H26" s="42"/>
      <c r="I26" s="42"/>
      <c r="J26" s="42"/>
      <c r="K26" s="43"/>
    </row>
    <row r="27" spans="2:11" ht="36" customHeight="1" x14ac:dyDescent="0.25">
      <c r="B27" s="4" t="s">
        <v>169</v>
      </c>
      <c r="C27" s="41" t="s">
        <v>170</v>
      </c>
      <c r="D27" s="42"/>
      <c r="E27" s="42"/>
      <c r="F27" s="42"/>
      <c r="G27" s="42"/>
      <c r="H27" s="42"/>
      <c r="I27" s="42"/>
      <c r="J27" s="42"/>
      <c r="K27" s="43"/>
    </row>
    <row r="29" spans="2:11" ht="21.95" customHeight="1" x14ac:dyDescent="0.25">
      <c r="B29" s="46" t="s">
        <v>171</v>
      </c>
      <c r="C29" s="37"/>
      <c r="D29" s="37"/>
      <c r="E29" s="37"/>
      <c r="F29" s="37"/>
      <c r="G29" s="37"/>
      <c r="H29" s="37"/>
      <c r="I29" s="37"/>
      <c r="J29" s="37"/>
      <c r="K29" s="37"/>
    </row>
    <row r="30" spans="2:11" x14ac:dyDescent="0.25">
      <c r="B30" s="22" t="s">
        <v>172</v>
      </c>
      <c r="C30" s="22" t="s">
        <v>173</v>
      </c>
      <c r="D30" s="22" t="s">
        <v>174</v>
      </c>
      <c r="E30" s="44" t="s">
        <v>175</v>
      </c>
      <c r="F30" s="42"/>
      <c r="G30" s="42"/>
      <c r="H30" s="42"/>
      <c r="I30" s="42"/>
      <c r="J30" s="42"/>
      <c r="K30" s="43"/>
    </row>
    <row r="31" spans="2:11" ht="29.25" customHeight="1" x14ac:dyDescent="0.25">
      <c r="B31" s="6" t="s">
        <v>176</v>
      </c>
      <c r="C31" s="23" t="s">
        <v>177</v>
      </c>
      <c r="D31" s="23" t="s">
        <v>178</v>
      </c>
      <c r="E31" s="45"/>
      <c r="F31" s="42"/>
      <c r="G31" s="42"/>
      <c r="H31" s="42"/>
      <c r="I31" s="42"/>
      <c r="J31" s="42"/>
      <c r="K31" s="43"/>
    </row>
    <row r="32" spans="2:11" ht="30.75" customHeight="1" x14ac:dyDescent="0.25">
      <c r="B32" s="6" t="s">
        <v>179</v>
      </c>
      <c r="C32" s="23" t="s">
        <v>180</v>
      </c>
      <c r="D32" s="23" t="s">
        <v>181</v>
      </c>
      <c r="E32" s="45" t="s">
        <v>182</v>
      </c>
      <c r="F32" s="42"/>
      <c r="G32" s="42"/>
      <c r="H32" s="42"/>
      <c r="I32" s="42"/>
      <c r="J32" s="42"/>
      <c r="K32" s="43"/>
    </row>
    <row r="33" spans="2:11" ht="32.25" customHeight="1" x14ac:dyDescent="0.25">
      <c r="B33" s="6" t="s">
        <v>183</v>
      </c>
      <c r="C33" s="23" t="s">
        <v>184</v>
      </c>
      <c r="D33" s="23" t="s">
        <v>185</v>
      </c>
      <c r="E33" s="45"/>
      <c r="F33" s="42"/>
      <c r="G33" s="42"/>
      <c r="H33" s="42"/>
      <c r="I33" s="42"/>
      <c r="J33" s="42"/>
      <c r="K33" s="43"/>
    </row>
    <row r="34" spans="2:11" ht="34.5" customHeight="1" x14ac:dyDescent="0.25">
      <c r="B34" s="6" t="s">
        <v>186</v>
      </c>
      <c r="C34" s="23" t="s">
        <v>187</v>
      </c>
      <c r="D34" s="23" t="s">
        <v>188</v>
      </c>
      <c r="E34" s="45"/>
      <c r="F34" s="42"/>
      <c r="G34" s="42"/>
      <c r="H34" s="42"/>
      <c r="I34" s="42"/>
      <c r="J34" s="42"/>
      <c r="K34" s="43"/>
    </row>
    <row r="36" spans="2:11" ht="21.95" customHeight="1" x14ac:dyDescent="0.25">
      <c r="B36" s="46" t="s">
        <v>189</v>
      </c>
      <c r="C36" s="37"/>
      <c r="D36" s="37"/>
      <c r="E36" s="37"/>
      <c r="F36" s="37"/>
      <c r="G36" s="37"/>
      <c r="H36" s="37"/>
      <c r="I36" s="37"/>
      <c r="J36" s="37"/>
      <c r="K36" s="37"/>
    </row>
    <row r="37" spans="2:11" ht="28.5" customHeight="1" x14ac:dyDescent="0.25">
      <c r="B37" s="4" t="s">
        <v>190</v>
      </c>
      <c r="C37" s="56">
        <v>300</v>
      </c>
      <c r="D37" s="42"/>
      <c r="E37" s="42"/>
      <c r="F37" s="42"/>
      <c r="G37" s="42"/>
      <c r="H37" s="42"/>
      <c r="I37" s="42"/>
      <c r="J37" s="42"/>
      <c r="K37" s="43"/>
    </row>
    <row r="38" spans="2:11" ht="30" customHeight="1" x14ac:dyDescent="0.25">
      <c r="B38" s="4" t="s">
        <v>191</v>
      </c>
      <c r="C38" s="41" t="s">
        <v>192</v>
      </c>
      <c r="D38" s="42"/>
      <c r="E38" s="42"/>
      <c r="F38" s="42"/>
      <c r="G38" s="42"/>
      <c r="H38" s="42"/>
      <c r="I38" s="42"/>
      <c r="J38" s="42"/>
      <c r="K38" s="43"/>
    </row>
    <row r="39" spans="2:11" ht="30" customHeight="1" x14ac:dyDescent="0.25">
      <c r="B39" s="4" t="s">
        <v>193</v>
      </c>
      <c r="C39" s="41" t="s">
        <v>194</v>
      </c>
      <c r="D39" s="42"/>
      <c r="E39" s="42"/>
      <c r="F39" s="42"/>
      <c r="G39" s="42"/>
      <c r="H39" s="42"/>
      <c r="I39" s="42"/>
      <c r="J39" s="42"/>
      <c r="K39" s="43"/>
    </row>
    <row r="40" spans="2:11" ht="30" customHeight="1" x14ac:dyDescent="0.25">
      <c r="B40" s="4" t="s">
        <v>195</v>
      </c>
      <c r="C40" s="41" t="s">
        <v>196</v>
      </c>
      <c r="D40" s="42"/>
      <c r="E40" s="42"/>
      <c r="F40" s="42"/>
      <c r="G40" s="42"/>
      <c r="H40" s="42"/>
      <c r="I40" s="42"/>
      <c r="J40" s="42"/>
      <c r="K40" s="43"/>
    </row>
    <row r="42" spans="2:11" ht="21.95" customHeight="1" x14ac:dyDescent="0.25">
      <c r="B42" s="46" t="s">
        <v>197</v>
      </c>
      <c r="C42" s="37"/>
      <c r="D42" s="37"/>
      <c r="E42" s="37"/>
      <c r="F42" s="37"/>
      <c r="G42" s="37"/>
      <c r="H42" s="37"/>
      <c r="I42" s="37"/>
      <c r="J42" s="37"/>
      <c r="K42" s="37"/>
    </row>
    <row r="43" spans="2:11" x14ac:dyDescent="0.25">
      <c r="B43" s="22" t="s">
        <v>198</v>
      </c>
      <c r="C43" s="22" t="s">
        <v>199</v>
      </c>
      <c r="D43" s="22" t="s">
        <v>200</v>
      </c>
      <c r="E43" s="44" t="s">
        <v>201</v>
      </c>
      <c r="F43" s="42"/>
      <c r="G43" s="42"/>
      <c r="H43" s="42"/>
      <c r="I43" s="42"/>
      <c r="J43" s="42"/>
      <c r="K43" s="43"/>
    </row>
    <row r="44" spans="2:11" ht="27.95" customHeight="1" x14ac:dyDescent="0.25">
      <c r="B44" s="7" t="s">
        <v>202</v>
      </c>
      <c r="C44" s="8" t="s">
        <v>203</v>
      </c>
      <c r="D44" s="23" t="s">
        <v>204</v>
      </c>
      <c r="E44" s="45" t="s">
        <v>205</v>
      </c>
      <c r="F44" s="42"/>
      <c r="G44" s="42"/>
      <c r="H44" s="42"/>
      <c r="I44" s="42"/>
      <c r="J44" s="42"/>
      <c r="K44" s="43"/>
    </row>
    <row r="45" spans="2:11" ht="27.95" customHeight="1" x14ac:dyDescent="0.25">
      <c r="B45" s="7" t="s">
        <v>206</v>
      </c>
      <c r="C45" s="8" t="s">
        <v>207</v>
      </c>
      <c r="D45" s="23" t="s">
        <v>208</v>
      </c>
      <c r="E45" s="45" t="s">
        <v>209</v>
      </c>
      <c r="F45" s="42"/>
      <c r="G45" s="42"/>
      <c r="H45" s="42"/>
      <c r="I45" s="42"/>
      <c r="J45" s="42"/>
      <c r="K45" s="43"/>
    </row>
    <row r="46" spans="2:11" ht="27.95" customHeight="1" x14ac:dyDescent="0.25">
      <c r="B46" s="7" t="s">
        <v>210</v>
      </c>
      <c r="C46" s="8" t="s">
        <v>211</v>
      </c>
      <c r="D46" s="23" t="s">
        <v>212</v>
      </c>
      <c r="E46" s="45" t="s">
        <v>213</v>
      </c>
      <c r="F46" s="42"/>
      <c r="G46" s="42"/>
      <c r="H46" s="42"/>
      <c r="I46" s="42"/>
      <c r="J46" s="42"/>
      <c r="K46" s="43"/>
    </row>
    <row r="47" spans="2:11" ht="27.95" customHeight="1" x14ac:dyDescent="0.25">
      <c r="B47" s="7" t="s">
        <v>214</v>
      </c>
      <c r="C47" s="8" t="s">
        <v>215</v>
      </c>
      <c r="D47" s="23" t="s">
        <v>216</v>
      </c>
      <c r="E47" s="45" t="s">
        <v>217</v>
      </c>
      <c r="F47" s="42"/>
      <c r="G47" s="42"/>
      <c r="H47" s="42"/>
      <c r="I47" s="42"/>
      <c r="J47" s="42"/>
      <c r="K47" s="43"/>
    </row>
    <row r="48" spans="2:11" ht="25.5" customHeight="1" x14ac:dyDescent="0.25">
      <c r="B48" s="7" t="s">
        <v>218</v>
      </c>
      <c r="C48" s="8" t="s">
        <v>211</v>
      </c>
      <c r="D48" s="23" t="s">
        <v>219</v>
      </c>
      <c r="E48" s="45" t="s">
        <v>220</v>
      </c>
      <c r="F48" s="42"/>
      <c r="G48" s="42"/>
      <c r="H48" s="42"/>
      <c r="I48" s="42"/>
      <c r="J48" s="42"/>
      <c r="K48" s="43"/>
    </row>
    <row r="49" spans="2:11" ht="25.5" customHeight="1" x14ac:dyDescent="0.25">
      <c r="B49" s="7" t="s">
        <v>221</v>
      </c>
      <c r="C49" s="8" t="s">
        <v>211</v>
      </c>
      <c r="D49" s="23" t="s">
        <v>222</v>
      </c>
      <c r="E49" s="45" t="s">
        <v>223</v>
      </c>
      <c r="F49" s="42"/>
      <c r="G49" s="42"/>
      <c r="H49" s="42"/>
      <c r="I49" s="42"/>
      <c r="J49" s="42"/>
      <c r="K49" s="43"/>
    </row>
    <row r="50" spans="2:11" ht="38.25" customHeight="1" x14ac:dyDescent="0.25">
      <c r="B50" s="7" t="s">
        <v>224</v>
      </c>
      <c r="C50" s="8" t="s">
        <v>211</v>
      </c>
      <c r="D50" s="23" t="s">
        <v>225</v>
      </c>
      <c r="E50" s="45" t="s">
        <v>226</v>
      </c>
      <c r="F50" s="42"/>
      <c r="G50" s="42"/>
      <c r="H50" s="42"/>
      <c r="I50" s="42"/>
      <c r="J50" s="42"/>
      <c r="K50" s="43"/>
    </row>
    <row r="51" spans="2:11" ht="9.9499999999999993" customHeight="1" x14ac:dyDescent="0.25">
      <c r="B51" s="20"/>
    </row>
    <row r="52" spans="2:11" ht="21.95" customHeight="1" x14ac:dyDescent="0.25">
      <c r="B52" s="55" t="s">
        <v>227</v>
      </c>
      <c r="C52" s="42"/>
      <c r="D52" s="42"/>
      <c r="E52" s="42"/>
      <c r="F52" s="42"/>
      <c r="G52" s="42"/>
      <c r="H52" s="42"/>
      <c r="I52" s="42"/>
      <c r="J52" s="42"/>
      <c r="K52" s="43"/>
    </row>
    <row r="53" spans="2:11" ht="24" customHeight="1" x14ac:dyDescent="0.25">
      <c r="B53" s="47" t="s">
        <v>228</v>
      </c>
      <c r="C53" s="48"/>
      <c r="D53" s="48"/>
      <c r="E53" s="48"/>
      <c r="F53" s="48"/>
      <c r="G53" s="48"/>
      <c r="H53" s="48"/>
      <c r="I53" s="48"/>
      <c r="J53" s="48"/>
      <c r="K53" s="49"/>
    </row>
    <row r="54" spans="2:11" ht="24" customHeight="1" x14ac:dyDescent="0.25">
      <c r="B54" s="50"/>
      <c r="C54" s="37"/>
      <c r="D54" s="37"/>
      <c r="E54" s="37"/>
      <c r="F54" s="37"/>
      <c r="G54" s="37"/>
      <c r="H54" s="37"/>
      <c r="I54" s="37"/>
      <c r="J54" s="37"/>
      <c r="K54" s="51"/>
    </row>
    <row r="55" spans="2:11" ht="24" customHeight="1" x14ac:dyDescent="0.25">
      <c r="B55" s="50"/>
      <c r="C55" s="37"/>
      <c r="D55" s="37"/>
      <c r="E55" s="37"/>
      <c r="F55" s="37"/>
      <c r="G55" s="37"/>
      <c r="H55" s="37"/>
      <c r="I55" s="37"/>
      <c r="J55" s="37"/>
      <c r="K55" s="51"/>
    </row>
    <row r="56" spans="2:11" ht="24" customHeight="1" x14ac:dyDescent="0.25">
      <c r="B56" s="52"/>
      <c r="C56" s="53"/>
      <c r="D56" s="53"/>
      <c r="E56" s="53"/>
      <c r="F56" s="53"/>
      <c r="G56" s="53"/>
      <c r="H56" s="53"/>
      <c r="I56" s="53"/>
      <c r="J56" s="53"/>
      <c r="K56" s="54"/>
    </row>
  </sheetData>
  <mergeCells count="45">
    <mergeCell ref="E48:K48"/>
    <mergeCell ref="C19:K19"/>
    <mergeCell ref="C37:K37"/>
    <mergeCell ref="C6:K6"/>
    <mergeCell ref="C9:K9"/>
    <mergeCell ref="B15:K15"/>
    <mergeCell ref="E32:K32"/>
    <mergeCell ref="C12:K12"/>
    <mergeCell ref="B36:K36"/>
    <mergeCell ref="C21:K21"/>
    <mergeCell ref="C11:K11"/>
    <mergeCell ref="E45:K45"/>
    <mergeCell ref="C16:K16"/>
    <mergeCell ref="C25:K25"/>
    <mergeCell ref="C10:K10"/>
    <mergeCell ref="C40:K40"/>
    <mergeCell ref="C39:K39"/>
    <mergeCell ref="C8:K8"/>
    <mergeCell ref="E33:K33"/>
    <mergeCell ref="C38:K38"/>
    <mergeCell ref="C7:K7"/>
    <mergeCell ref="B53:K56"/>
    <mergeCell ref="E44:K44"/>
    <mergeCell ref="B52:K52"/>
    <mergeCell ref="C13:K13"/>
    <mergeCell ref="C18:K18"/>
    <mergeCell ref="B42:K42"/>
    <mergeCell ref="C24:K24"/>
    <mergeCell ref="B23:K23"/>
    <mergeCell ref="E31:K31"/>
    <mergeCell ref="E46:K46"/>
    <mergeCell ref="E49:K49"/>
    <mergeCell ref="E47:K47"/>
    <mergeCell ref="C27:K27"/>
    <mergeCell ref="E43:K43"/>
    <mergeCell ref="E50:K50"/>
    <mergeCell ref="C17:K17"/>
    <mergeCell ref="B1:K1"/>
    <mergeCell ref="C5:K5"/>
    <mergeCell ref="E30:K30"/>
    <mergeCell ref="E34:K34"/>
    <mergeCell ref="B29:K29"/>
    <mergeCell ref="C26:K26"/>
    <mergeCell ref="C20:K20"/>
    <mergeCell ref="B4:K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showGridLines="0" topLeftCell="B1" workbookViewId="0">
      <selection activeCell="H7" sqref="A1:XFD1048576"/>
    </sheetView>
  </sheetViews>
  <sheetFormatPr defaultRowHeight="15" x14ac:dyDescent="0.25"/>
  <cols>
    <col min="1" max="1" width="3" style="28" customWidth="1"/>
    <col min="2" max="2" width="34" style="28" customWidth="1"/>
    <col min="3" max="3" width="44.28515625" style="28" customWidth="1"/>
    <col min="4" max="4" width="60" style="28" customWidth="1"/>
  </cols>
  <sheetData>
    <row r="1" spans="2:7" ht="26.1" customHeight="1" x14ac:dyDescent="0.25">
      <c r="B1" s="40" t="s">
        <v>244</v>
      </c>
      <c r="C1" s="37"/>
      <c r="D1" s="37"/>
    </row>
    <row r="3" spans="2:7" x14ac:dyDescent="0.25">
      <c r="B3" s="4" t="s">
        <v>133</v>
      </c>
      <c r="C3" s="15" t="str">
        <f>'Metrics Log'!H2</f>
        <v>TC-SOAK-01</v>
      </c>
      <c r="D3" s="5"/>
    </row>
    <row r="4" spans="2:7" x14ac:dyDescent="0.25">
      <c r="B4" s="4" t="s">
        <v>230</v>
      </c>
      <c r="C4" s="24">
        <v>46054.375</v>
      </c>
      <c r="D4" s="5"/>
    </row>
    <row r="5" spans="2:7" x14ac:dyDescent="0.25">
      <c r="B5" s="4" t="s">
        <v>245</v>
      </c>
      <c r="C5" s="24">
        <v>46054.437498206018</v>
      </c>
      <c r="D5" s="5"/>
    </row>
    <row r="6" spans="2:7" x14ac:dyDescent="0.25">
      <c r="B6" s="4" t="s">
        <v>246</v>
      </c>
      <c r="C6" s="17">
        <v>90</v>
      </c>
      <c r="D6" s="5"/>
    </row>
    <row r="7" spans="2:7" x14ac:dyDescent="0.25">
      <c r="B7" s="4"/>
      <c r="C7" s="15"/>
      <c r="D7" s="5"/>
    </row>
    <row r="8" spans="2:7" x14ac:dyDescent="0.25">
      <c r="B8" s="4" t="s">
        <v>247</v>
      </c>
      <c r="C8" s="15">
        <v>3.8</v>
      </c>
      <c r="D8" s="5"/>
    </row>
    <row r="9" spans="2:7" x14ac:dyDescent="0.25">
      <c r="B9" s="4" t="s">
        <v>248</v>
      </c>
      <c r="C9" s="15">
        <v>812.15599999999995</v>
      </c>
      <c r="D9" s="5"/>
    </row>
    <row r="10" spans="2:7" x14ac:dyDescent="0.25">
      <c r="B10" s="4" t="s">
        <v>249</v>
      </c>
      <c r="C10" s="15" t="s">
        <v>250</v>
      </c>
      <c r="D10" s="5"/>
    </row>
    <row r="11" spans="2:7" x14ac:dyDescent="0.25">
      <c r="B11" s="4"/>
      <c r="C11" s="15"/>
      <c r="D11" s="5"/>
    </row>
    <row r="12" spans="2:7" x14ac:dyDescent="0.25">
      <c r="B12" s="25" t="s">
        <v>251</v>
      </c>
      <c r="C12" s="26"/>
      <c r="D12" s="26"/>
      <c r="E12" s="27"/>
      <c r="F12" s="27"/>
      <c r="G12" s="27"/>
    </row>
    <row r="13" spans="2:7" x14ac:dyDescent="0.25">
      <c r="B13" s="4" t="s">
        <v>252</v>
      </c>
      <c r="C13" s="15" t="s">
        <v>253</v>
      </c>
      <c r="D13" s="5"/>
    </row>
    <row r="14" spans="2:7" x14ac:dyDescent="0.25">
      <c r="B14" s="4" t="s">
        <v>254</v>
      </c>
      <c r="C14" s="15" t="s">
        <v>255</v>
      </c>
      <c r="D14" s="5"/>
    </row>
    <row r="15" spans="2:7" x14ac:dyDescent="0.25">
      <c r="B15" s="4" t="s">
        <v>256</v>
      </c>
      <c r="C15" s="15">
        <v>0</v>
      </c>
      <c r="D15" s="5"/>
    </row>
    <row r="16" spans="2:7" x14ac:dyDescent="0.25">
      <c r="B16" s="4" t="s">
        <v>257</v>
      </c>
      <c r="C16" s="15">
        <v>1</v>
      </c>
      <c r="D16" s="5"/>
    </row>
    <row r="17" spans="2:4" x14ac:dyDescent="0.25">
      <c r="B17" s="4" t="s">
        <v>258</v>
      </c>
      <c r="C17" s="15" t="s">
        <v>259</v>
      </c>
      <c r="D17" s="5"/>
    </row>
    <row r="18" spans="2:4" x14ac:dyDescent="0.25">
      <c r="B18" s="4" t="s">
        <v>260</v>
      </c>
      <c r="C18" s="15">
        <v>0</v>
      </c>
      <c r="D18" s="5"/>
    </row>
    <row r="19" spans="2:4" x14ac:dyDescent="0.25">
      <c r="B19" s="4"/>
      <c r="C19" s="15"/>
      <c r="D19" s="5"/>
    </row>
    <row r="20" spans="2:4" x14ac:dyDescent="0.25">
      <c r="B20" s="4" t="s">
        <v>261</v>
      </c>
      <c r="C20" s="17">
        <v>538.91999999999996</v>
      </c>
      <c r="D20" s="5"/>
    </row>
    <row r="21" spans="2:4" x14ac:dyDescent="0.25">
      <c r="B21" s="4"/>
      <c r="C21" s="15"/>
      <c r="D21" s="5"/>
    </row>
    <row r="22" spans="2:4" ht="60" customHeight="1" x14ac:dyDescent="0.25">
      <c r="B22" s="18" t="s">
        <v>262</v>
      </c>
      <c r="C22" s="19" t="s">
        <v>263</v>
      </c>
    </row>
  </sheetData>
  <mergeCells count="1">
    <mergeCell ref="B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showGridLines="0" workbookViewId="0">
      <selection activeCell="H7" sqref="A1:XFD1048576"/>
    </sheetView>
  </sheetViews>
  <sheetFormatPr defaultRowHeight="15" x14ac:dyDescent="0.25"/>
  <cols>
    <col min="1" max="1" width="3" style="28" customWidth="1"/>
    <col min="2" max="2" width="100" style="28" customWidth="1"/>
  </cols>
  <sheetData>
    <row r="1" spans="2:2" ht="26.1" customHeight="1" x14ac:dyDescent="0.25">
      <c r="B1" s="58" t="s">
        <v>264</v>
      </c>
    </row>
    <row r="3" spans="2:2" ht="180" customHeight="1" x14ac:dyDescent="0.25">
      <c r="B3" s="23" t="s">
        <v>265</v>
      </c>
    </row>
  </sheetData>
  <mergeCells count="1">
    <mergeCell ref="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Kế hoạch kiểm thử phần mềm</vt:lpstr>
      <vt:lpstr>Báo cáo tóm tắt kiểm thử</vt:lpstr>
      <vt:lpstr>Báo cáo lỗi</vt:lpstr>
      <vt:lpstr>Các trường hợp kiểm thử</vt:lpstr>
      <vt:lpstr>Mục tiêu</vt:lpstr>
      <vt:lpstr>Metrics Log</vt:lpstr>
      <vt:lpstr>Chart</vt:lpstr>
      <vt:lpstr>Soak Test Plan (Old)</vt:lpstr>
      <vt:lpstr>Summary</vt:lpstr>
      <vt:lpstr>How to Use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nhung</cp:lastModifiedBy>
  <dcterms:created xsi:type="dcterms:W3CDTF">2026-02-02T16:20:02Z</dcterms:created>
  <dcterms:modified xsi:type="dcterms:W3CDTF">2026-03-17T07:56:11Z</dcterms:modified>
</cp:coreProperties>
</file>